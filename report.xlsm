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never" codeName="ThisWorkbook" defaultThemeVersion="124226"/>
  <bookViews>
    <workbookView xWindow="-120" yWindow="120" windowWidth="28920" windowHeight="15600" tabRatio="150"/>
  </bookViews>
  <sheets>
    <sheet name="第一页" sheetId="1" r:id="rId1"/>
  </sheets>
  <functionGroups builtInGroupCount="17"/>
  <definedNames>
    <definedName name="_xlnm._FilterDatabase" localSheetId="0" hidden="1">第一页!$DI$14:$DI$25</definedName>
  </definedNames>
  <calcPr calcId="144525"/>
</workbook>
</file>

<file path=xl/calcChain.xml><?xml version="1.0" encoding="utf-8"?>
<calcChain xmlns="http://schemas.openxmlformats.org/spreadsheetml/2006/main">
  <c r="DR28" i="1" l="1"/>
  <c r="DF28" i="1"/>
  <c r="DY28" i="1" s="1"/>
  <c r="I28" i="1"/>
  <c r="DV28" i="1" s="1"/>
  <c r="H28" i="1"/>
  <c r="EE28" i="1" s="1"/>
  <c r="DR27" i="1"/>
  <c r="I27" i="1"/>
  <c r="H27" i="1"/>
  <c r="EE27" i="1" s="1"/>
  <c r="EB28" i="1"/>
  <c r="DF27" i="1"/>
  <c r="EA28" i="1"/>
  <c r="EA27" i="1"/>
  <c r="EB27" i="1"/>
  <c r="DY27" i="1" l="1"/>
  <c r="DX27" i="1"/>
  <c r="DT28" i="1"/>
  <c r="DZ28" i="1"/>
  <c r="DG28" i="1"/>
  <c r="DW28" i="1"/>
  <c r="EC28" i="1"/>
  <c r="DH28" i="1"/>
  <c r="DX28" i="1"/>
  <c r="ED28" i="1"/>
  <c r="DU28" i="1"/>
  <c r="DI28" i="1"/>
  <c r="DJ28" i="1" s="1"/>
  <c r="DK28" i="1" s="1"/>
  <c r="DS28" i="1"/>
  <c r="DT27" i="1"/>
  <c r="DH27" i="1" s="1"/>
  <c r="DZ27" i="1"/>
  <c r="DW27" i="1"/>
  <c r="EC27" i="1"/>
  <c r="ED27" i="1"/>
  <c r="DS27" i="1"/>
  <c r="DG27" i="1" s="1"/>
  <c r="DR26" i="1"/>
  <c r="I26" i="1"/>
  <c r="H26" i="1"/>
  <c r="DR25" i="1"/>
  <c r="I25" i="1"/>
  <c r="H25" i="1"/>
  <c r="DR24" i="1"/>
  <c r="I24" i="1"/>
  <c r="H24" i="1"/>
  <c r="DR23" i="1"/>
  <c r="I23" i="1"/>
  <c r="H23" i="1"/>
  <c r="DR22" i="1"/>
  <c r="I22" i="1"/>
  <c r="H22" i="1"/>
  <c r="DR21" i="1"/>
  <c r="I21" i="1"/>
  <c r="H21" i="1"/>
  <c r="DR20" i="1"/>
  <c r="I20" i="1"/>
  <c r="H20" i="1"/>
  <c r="DR19" i="1"/>
  <c r="I19" i="1"/>
  <c r="H19" i="1"/>
  <c r="DR18" i="1"/>
  <c r="I18" i="1"/>
  <c r="H18" i="1"/>
  <c r="DR17" i="1"/>
  <c r="I17" i="1"/>
  <c r="H17" i="1"/>
  <c r="DR16" i="1"/>
  <c r="I16" i="1"/>
  <c r="H16" i="1"/>
  <c r="I15" i="1"/>
  <c r="H15" i="1"/>
  <c r="DP11" i="1"/>
  <c r="DQ11" i="1" s="1"/>
  <c r="DP10" i="1"/>
  <c r="DQ10" i="1" s="1"/>
  <c r="DP9" i="1"/>
  <c r="DQ9" i="1" s="1"/>
  <c r="DP8" i="1"/>
  <c r="DQ8" i="1" s="1"/>
  <c r="DP7" i="1"/>
  <c r="DQ7" i="1" s="1"/>
  <c r="DP6" i="1"/>
  <c r="DQ6" i="1" s="1"/>
  <c r="DH6" i="1"/>
  <c r="DN5" i="1"/>
  <c r="DH5" i="1"/>
  <c r="DE11" i="1"/>
  <c r="DB11" i="1"/>
  <c r="DC11" i="1"/>
  <c r="DD11" i="1"/>
  <c r="CW11" i="1"/>
  <c r="CS11" i="1"/>
  <c r="CY11" i="1"/>
  <c r="DA11" i="1"/>
  <c r="CL11" i="1"/>
  <c r="CZ11" i="1"/>
  <c r="CP11" i="1"/>
  <c r="CX11" i="1"/>
  <c r="CT11" i="1"/>
  <c r="CQ11" i="1"/>
  <c r="CO11" i="1"/>
  <c r="CM11" i="1"/>
  <c r="CN11" i="1"/>
  <c r="CR11" i="1"/>
  <c r="CV11" i="1"/>
  <c r="CU11" i="1"/>
  <c r="CH11" i="1"/>
  <c r="CJ11" i="1"/>
  <c r="CE11" i="1"/>
  <c r="CF11" i="1"/>
  <c r="CI11" i="1"/>
  <c r="BX11" i="1"/>
  <c r="BZ11" i="1"/>
  <c r="CB11" i="1"/>
  <c r="CD11" i="1"/>
  <c r="CA11" i="1"/>
  <c r="BY11" i="1"/>
  <c r="CG11" i="1"/>
  <c r="CC11" i="1"/>
  <c r="CK11" i="1"/>
  <c r="BT11" i="1"/>
  <c r="BR11" i="1"/>
  <c r="BM11" i="1"/>
  <c r="BU11" i="1"/>
  <c r="BK11" i="1"/>
  <c r="BQ11" i="1"/>
  <c r="BV11" i="1"/>
  <c r="BJ11" i="1"/>
  <c r="BL11" i="1"/>
  <c r="BO11" i="1"/>
  <c r="BW11" i="1"/>
  <c r="BS11" i="1"/>
  <c r="BN11" i="1"/>
  <c r="BP11" i="1"/>
  <c r="BI11" i="1"/>
  <c r="BH11" i="1"/>
  <c r="BG11" i="1"/>
  <c r="BF11" i="1"/>
  <c r="BB11" i="1"/>
  <c r="BC11" i="1"/>
  <c r="BD11" i="1"/>
  <c r="BE11" i="1"/>
  <c r="DR14" i="1"/>
  <c r="AZ11" i="1"/>
  <c r="AX11" i="1"/>
  <c r="AY11" i="1"/>
  <c r="BA11" i="1"/>
  <c r="AO11" i="1"/>
  <c r="AJ11" i="1"/>
  <c r="AK11" i="1"/>
  <c r="AQ11" i="1"/>
  <c r="AW11" i="1"/>
  <c r="AU11" i="1"/>
  <c r="AC11" i="1"/>
  <c r="AI11" i="1"/>
  <c r="AN11" i="1"/>
  <c r="AH11" i="1"/>
  <c r="AD11" i="1"/>
  <c r="AS11" i="1"/>
  <c r="AL11" i="1"/>
  <c r="AP11" i="1"/>
  <c r="AM11" i="1"/>
  <c r="AG11" i="1"/>
  <c r="AE11" i="1"/>
  <c r="AV11" i="1"/>
  <c r="AR11" i="1"/>
  <c r="AF11" i="1"/>
  <c r="AT11" i="1"/>
  <c r="AB11" i="1"/>
  <c r="T11" i="1"/>
  <c r="S11" i="1"/>
  <c r="Y11" i="1"/>
  <c r="AA11" i="1"/>
  <c r="W11" i="1"/>
  <c r="Z11" i="1"/>
  <c r="R11" i="1"/>
  <c r="Q11" i="1"/>
  <c r="U11" i="1"/>
  <c r="P11" i="1"/>
  <c r="V11" i="1"/>
  <c r="X11" i="1"/>
  <c r="DI27" i="1" l="1"/>
  <c r="DJ27" i="1" s="1"/>
  <c r="DK27" i="1" s="1"/>
  <c r="DM27" i="1" s="1"/>
  <c r="DL28" i="1"/>
  <c r="DM28" i="1"/>
  <c r="ED19" i="1"/>
  <c r="ED17" i="1"/>
  <c r="EE23" i="1"/>
  <c r="DW24" i="1"/>
  <c r="DW16" i="1"/>
  <c r="DX24" i="1"/>
  <c r="DW20" i="1"/>
  <c r="EE24" i="1"/>
  <c r="DW23" i="1"/>
  <c r="EC24" i="1"/>
  <c r="EE17" i="1"/>
  <c r="DX18" i="1"/>
  <c r="DW21" i="1"/>
  <c r="DX22" i="1"/>
  <c r="DW25" i="1"/>
  <c r="EC26" i="1"/>
  <c r="EE16" i="1"/>
  <c r="EC20" i="1"/>
  <c r="ED16" i="1"/>
  <c r="EC23" i="1"/>
  <c r="ED24" i="1"/>
  <c r="DX20" i="1"/>
  <c r="EE18" i="1"/>
  <c r="EC19" i="1"/>
  <c r="DW22" i="1"/>
  <c r="DX23" i="1"/>
  <c r="DX25" i="1"/>
  <c r="EC15" i="1"/>
  <c r="DX15" i="1"/>
  <c r="EE15" i="1"/>
  <c r="DW17" i="1"/>
  <c r="DX17" i="1"/>
  <c r="EC17" i="1"/>
  <c r="DX21" i="1"/>
  <c r="EE21" i="1"/>
  <c r="EE25" i="1"/>
  <c r="DW15" i="1"/>
  <c r="ED15" i="1"/>
  <c r="DX16" i="1"/>
  <c r="EC16" i="1"/>
  <c r="ED22" i="1"/>
  <c r="ED21" i="1"/>
  <c r="EC21" i="1"/>
  <c r="DW18" i="1"/>
  <c r="ED18" i="1"/>
  <c r="EC18" i="1"/>
  <c r="EE19" i="1"/>
  <c r="DX19" i="1"/>
  <c r="EE22" i="1"/>
  <c r="EC22" i="1"/>
  <c r="ED25" i="1"/>
  <c r="EC25" i="1"/>
  <c r="DX26" i="1"/>
  <c r="ED26" i="1"/>
  <c r="EE26" i="1"/>
  <c r="DW26" i="1"/>
  <c r="ED20" i="1"/>
  <c r="ED23" i="1"/>
  <c r="EE20" i="1"/>
  <c r="DW19" i="1"/>
  <c r="N11" i="1"/>
  <c r="M11" i="1"/>
  <c r="J11" i="1"/>
  <c r="O11" i="1"/>
  <c r="K11" i="1"/>
  <c r="L11" i="1"/>
  <c r="DU27" i="1" l="1"/>
  <c r="DV27" i="1"/>
  <c r="DL27" i="1"/>
  <c r="DF24" i="1"/>
  <c r="DF19" i="1"/>
  <c r="EA17" i="1"/>
  <c r="EB15" i="1"/>
  <c r="EB16" i="1"/>
  <c r="EB23" i="1"/>
  <c r="EA25" i="1"/>
  <c r="EB19" i="1"/>
  <c r="EB25" i="1"/>
  <c r="EA20" i="1"/>
  <c r="EA19" i="1"/>
  <c r="EA23" i="1"/>
  <c r="EB26" i="1"/>
  <c r="DF23" i="1"/>
  <c r="EA26" i="1"/>
  <c r="DF16" i="1"/>
  <c r="DF15" i="1"/>
  <c r="DF22" i="1"/>
  <c r="EA22" i="1"/>
  <c r="EA18" i="1"/>
  <c r="EA15" i="1"/>
  <c r="DF20" i="1"/>
  <c r="EA21" i="1"/>
  <c r="EB17" i="1"/>
  <c r="EA24" i="1"/>
  <c r="DF18" i="1"/>
  <c r="EB20" i="1"/>
  <c r="EB21" i="1"/>
  <c r="EB24" i="1"/>
  <c r="EA16" i="1"/>
  <c r="DF17" i="1"/>
  <c r="DF26" i="1"/>
  <c r="EB22" i="1"/>
  <c r="EB18" i="1"/>
  <c r="DF21" i="1"/>
  <c r="DF25" i="1"/>
  <c r="DS24" i="1" l="1"/>
  <c r="DG24" i="1" s="1"/>
  <c r="DY24" i="1"/>
  <c r="DZ24" i="1"/>
  <c r="DT24" i="1"/>
  <c r="DH24" i="1" s="1"/>
  <c r="DY18" i="1"/>
  <c r="DS18" i="1"/>
  <c r="DG18" i="1" s="1"/>
  <c r="DZ18" i="1"/>
  <c r="DT18" i="1"/>
  <c r="DH18" i="1" s="1"/>
  <c r="DZ19" i="1"/>
  <c r="DS19" i="1"/>
  <c r="DG19" i="1" s="1"/>
  <c r="DY19" i="1"/>
  <c r="DT19" i="1"/>
  <c r="DH19" i="1" s="1"/>
  <c r="DZ16" i="1"/>
  <c r="DY16" i="1"/>
  <c r="DT16" i="1"/>
  <c r="DH16" i="1" s="1"/>
  <c r="DS16" i="1"/>
  <c r="DG16" i="1" s="1"/>
  <c r="DT23" i="1"/>
  <c r="DH23" i="1" s="1"/>
  <c r="DS23" i="1"/>
  <c r="DG23" i="1" s="1"/>
  <c r="DY23" i="1"/>
  <c r="DZ23" i="1"/>
  <c r="DY22" i="1"/>
  <c r="DT22" i="1"/>
  <c r="DH22" i="1" s="1"/>
  <c r="DZ22" i="1"/>
  <c r="DS22" i="1"/>
  <c r="DG22" i="1" s="1"/>
  <c r="DT15" i="1"/>
  <c r="DH15" i="1" s="1"/>
  <c r="DY15" i="1"/>
  <c r="DZ15" i="1"/>
  <c r="DS15" i="1"/>
  <c r="DG15" i="1" s="1"/>
  <c r="DY26" i="1"/>
  <c r="DS26" i="1"/>
  <c r="DG26" i="1" s="1"/>
  <c r="DZ26" i="1"/>
  <c r="DT26" i="1"/>
  <c r="DH26" i="1" s="1"/>
  <c r="DY20" i="1"/>
  <c r="DS20" i="1"/>
  <c r="DG20" i="1" s="1"/>
  <c r="DZ20" i="1"/>
  <c r="DT20" i="1"/>
  <c r="DH20" i="1" s="1"/>
  <c r="DY21" i="1"/>
  <c r="DS21" i="1"/>
  <c r="DG21" i="1" s="1"/>
  <c r="DT21" i="1"/>
  <c r="DH21" i="1" s="1"/>
  <c r="DZ21" i="1"/>
  <c r="DS25" i="1"/>
  <c r="DG25" i="1" s="1"/>
  <c r="DZ25" i="1"/>
  <c r="DT25" i="1"/>
  <c r="DH25" i="1" s="1"/>
  <c r="DY25" i="1"/>
  <c r="DY17" i="1"/>
  <c r="DZ17" i="1"/>
  <c r="DT17" i="1"/>
  <c r="DH17" i="1" s="1"/>
  <c r="DS17" i="1"/>
  <c r="DG17" i="1" s="1"/>
  <c r="DI16" i="1" l="1"/>
  <c r="DJ16" i="1" s="1"/>
  <c r="DU16" i="1" s="1"/>
  <c r="DI26" i="1"/>
  <c r="DJ26" i="1" s="1"/>
  <c r="DK26" i="1" s="1"/>
  <c r="DM26" i="1" s="1"/>
  <c r="DI24" i="1"/>
  <c r="DJ24" i="1" s="1"/>
  <c r="DK24" i="1" s="1"/>
  <c r="DM24" i="1" s="1"/>
  <c r="DI21" i="1"/>
  <c r="DJ21" i="1" s="1"/>
  <c r="DK21" i="1" s="1"/>
  <c r="DM21" i="1" s="1"/>
  <c r="DI19" i="1"/>
  <c r="DJ19" i="1" s="1"/>
  <c r="DV19" i="1" s="1"/>
  <c r="DI15" i="1"/>
  <c r="DJ15" i="1" s="1"/>
  <c r="DI17" i="1"/>
  <c r="DJ17" i="1" s="1"/>
  <c r="DK17" i="1" s="1"/>
  <c r="DL17" i="1" s="1"/>
  <c r="DI20" i="1"/>
  <c r="DJ20" i="1" s="1"/>
  <c r="DK20" i="1" s="1"/>
  <c r="DI25" i="1"/>
  <c r="DJ25" i="1" s="1"/>
  <c r="DK25" i="1" s="1"/>
  <c r="DL25" i="1" s="1"/>
  <c r="DI23" i="1"/>
  <c r="DJ23" i="1" s="1"/>
  <c r="DV23" i="1" s="1"/>
  <c r="DI22" i="1"/>
  <c r="DJ22" i="1" s="1"/>
  <c r="DI18" i="1"/>
  <c r="DJ18" i="1" s="1"/>
  <c r="DL26" i="1" l="1"/>
  <c r="DK19" i="1"/>
  <c r="DM19" i="1" s="1"/>
  <c r="DV16" i="1"/>
  <c r="DL24" i="1"/>
  <c r="DU21" i="1"/>
  <c r="DK16" i="1"/>
  <c r="DU24" i="1"/>
  <c r="DV24" i="1"/>
  <c r="DV21" i="1"/>
  <c r="DM17" i="1"/>
  <c r="DU23" i="1"/>
  <c r="DM25" i="1"/>
  <c r="DV26" i="1"/>
  <c r="DV25" i="1"/>
  <c r="DU20" i="1"/>
  <c r="DU26" i="1"/>
  <c r="DV20" i="1"/>
  <c r="DU17" i="1"/>
  <c r="DL21" i="1"/>
  <c r="DV17" i="1"/>
  <c r="DK23" i="1"/>
  <c r="DM23" i="1" s="1"/>
  <c r="DU19" i="1"/>
  <c r="DU25" i="1"/>
  <c r="DK22" i="1"/>
  <c r="DV22" i="1"/>
  <c r="DU22" i="1"/>
  <c r="DK7" i="1"/>
  <c r="DM7" i="1" s="1"/>
  <c r="DK18" i="1"/>
  <c r="DV18" i="1"/>
  <c r="DU18" i="1"/>
  <c r="DK15" i="1"/>
  <c r="DV15" i="1"/>
  <c r="DU15" i="1"/>
  <c r="DK5" i="1"/>
  <c r="DL20" i="1"/>
  <c r="DM20" i="1"/>
  <c r="DL19" i="1" l="1"/>
  <c r="DM16" i="1"/>
  <c r="DL16" i="1"/>
  <c r="DL23" i="1"/>
  <c r="DM22" i="1"/>
  <c r="DL22" i="1"/>
  <c r="DL15" i="1"/>
  <c r="DM15" i="1"/>
  <c r="DL18" i="1"/>
  <c r="DM18" i="1"/>
</calcChain>
</file>

<file path=xl/sharedStrings.xml><?xml version="1.0" encoding="utf-8"?>
<sst xmlns="http://schemas.openxmlformats.org/spreadsheetml/2006/main" count="133" uniqueCount="113">
  <si>
    <t>送检单位</t>
  </si>
  <si>
    <t>送检人员</t>
  </si>
  <si>
    <t>注意事项</t>
  </si>
  <si>
    <t>超差尺寸</t>
  </si>
  <si>
    <t>尺寸总数</t>
  </si>
  <si>
    <t>改善统计</t>
  </si>
  <si>
    <t>数量</t>
  </si>
  <si>
    <t>比例</t>
  </si>
  <si>
    <t>机型代码</t>
  </si>
  <si>
    <t>抽样时间</t>
  </si>
  <si>
    <r>
      <rPr>
        <sz val="9"/>
        <rFont val="宋体"/>
        <family val="3"/>
        <charset val="134"/>
      </rPr>
      <t>1.公差为负时，必须加负号"</t>
    </r>
    <r>
      <rPr>
        <sz val="9"/>
        <color indexed="10"/>
        <rFont val="宋体"/>
        <family val="3"/>
        <charset val="134"/>
      </rPr>
      <t>－</t>
    </r>
    <r>
      <rPr>
        <sz val="9"/>
        <rFont val="宋体"/>
        <family val="3"/>
        <charset val="134"/>
      </rPr>
      <t>"</t>
    </r>
  </si>
  <si>
    <t>标准</t>
  </si>
  <si>
    <t>合格率</t>
  </si>
  <si>
    <t>判定</t>
  </si>
  <si>
    <t>修模改善</t>
  </si>
  <si>
    <t>产品名称</t>
  </si>
  <si>
    <t>送检时间</t>
  </si>
  <si>
    <t>尺寸合格率</t>
  </si>
  <si>
    <t>调机改善</t>
  </si>
  <si>
    <t>产品描述</t>
  </si>
  <si>
    <t>检测类别</t>
  </si>
  <si>
    <r>
      <rPr>
        <sz val="9"/>
        <rFont val="宋体"/>
        <family val="3"/>
        <charset val="134"/>
      </rPr>
      <t>3.Min公差（如：Min</t>
    </r>
    <r>
      <rPr>
        <sz val="9"/>
        <color indexed="12"/>
        <rFont val="宋体"/>
        <family val="3"/>
        <charset val="134"/>
      </rPr>
      <t>0.20</t>
    </r>
    <r>
      <rPr>
        <sz val="9"/>
        <rFont val="宋体"/>
        <family val="3"/>
        <charset val="134"/>
      </rPr>
      <t>，即标准值为"</t>
    </r>
    <r>
      <rPr>
        <sz val="9"/>
        <color indexed="12"/>
        <rFont val="宋体"/>
        <family val="3"/>
        <charset val="134"/>
      </rPr>
      <t>\</t>
    </r>
    <r>
      <rPr>
        <sz val="9"/>
        <rFont val="宋体"/>
        <family val="3"/>
        <charset val="134"/>
      </rPr>
      <t>"，上公差为"</t>
    </r>
    <r>
      <rPr>
        <sz val="9"/>
        <color indexed="12"/>
        <rFont val="宋体"/>
        <family val="3"/>
        <charset val="134"/>
      </rPr>
      <t>\</t>
    </r>
    <r>
      <rPr>
        <sz val="9"/>
        <rFont val="宋体"/>
        <family val="3"/>
        <charset val="134"/>
      </rPr>
      <t>"，下公差为</t>
    </r>
    <r>
      <rPr>
        <sz val="9"/>
        <color indexed="12"/>
        <rFont val="宋体"/>
        <family val="3"/>
        <charset val="134"/>
      </rPr>
      <t>0.20</t>
    </r>
    <r>
      <rPr>
        <sz val="9"/>
        <rFont val="宋体"/>
        <family val="3"/>
        <charset val="134"/>
      </rPr>
      <t>）</t>
    </r>
  </si>
  <si>
    <t>测量开始时间</t>
  </si>
  <si>
    <t>工艺变更</t>
  </si>
  <si>
    <t>蓝图编号</t>
  </si>
  <si>
    <t>蓝图版本</t>
  </si>
  <si>
    <r>
      <rPr>
        <sz val="9"/>
        <rFont val="宋体"/>
        <family val="3"/>
        <charset val="134"/>
      </rPr>
      <t>4.Max</t>
    </r>
    <r>
      <rPr>
        <sz val="9"/>
        <rFont val="宋体"/>
        <family val="3"/>
        <charset val="134"/>
      </rPr>
      <t>公差</t>
    </r>
    <r>
      <rPr>
        <sz val="9"/>
        <rFont val="宋体"/>
        <family val="3"/>
        <charset val="134"/>
      </rPr>
      <t>（如：Max</t>
    </r>
    <r>
      <rPr>
        <sz val="9"/>
        <color indexed="12"/>
        <rFont val="宋体"/>
        <family val="3"/>
        <charset val="134"/>
      </rPr>
      <t>0.20</t>
    </r>
    <r>
      <rPr>
        <sz val="9"/>
        <rFont val="宋体"/>
        <family val="3"/>
        <charset val="134"/>
      </rPr>
      <t>，即标准值为"</t>
    </r>
    <r>
      <rPr>
        <sz val="9"/>
        <color indexed="12"/>
        <rFont val="宋体"/>
        <family val="3"/>
        <charset val="134"/>
      </rPr>
      <t>\</t>
    </r>
    <r>
      <rPr>
        <sz val="9"/>
        <rFont val="宋体"/>
        <family val="3"/>
        <charset val="134"/>
      </rPr>
      <t>"，上公差为</t>
    </r>
    <r>
      <rPr>
        <sz val="9"/>
        <color indexed="12"/>
        <rFont val="宋体"/>
        <family val="3"/>
        <charset val="134"/>
      </rPr>
      <t>0.20</t>
    </r>
    <r>
      <rPr>
        <sz val="9"/>
        <rFont val="宋体"/>
        <family val="3"/>
        <charset val="134"/>
      </rPr>
      <t>，下公差为"</t>
    </r>
    <r>
      <rPr>
        <sz val="9"/>
        <color indexed="12"/>
        <rFont val="宋体"/>
        <family val="3"/>
        <charset val="134"/>
      </rPr>
      <t>\</t>
    </r>
    <r>
      <rPr>
        <sz val="9"/>
        <rFont val="宋体"/>
        <family val="3"/>
        <charset val="134"/>
      </rPr>
      <t>"）</t>
    </r>
  </si>
  <si>
    <t>测量完成时间</t>
  </si>
  <si>
    <t>复测尺寸</t>
  </si>
  <si>
    <t>测量设备</t>
  </si>
  <si>
    <t>测量环境</t>
  </si>
  <si>
    <r>
      <rPr>
        <sz val="9"/>
        <rFont val="宋体"/>
        <family val="3"/>
        <charset val="134"/>
      </rPr>
      <t>5.形位公差（如：平面度</t>
    </r>
    <r>
      <rPr>
        <sz val="9"/>
        <color indexed="12"/>
        <rFont val="宋体"/>
        <family val="3"/>
        <charset val="134"/>
      </rPr>
      <t>0.20</t>
    </r>
    <r>
      <rPr>
        <sz val="9"/>
        <rFont val="宋体"/>
        <family val="3"/>
        <charset val="134"/>
      </rPr>
      <t>，即标准值为</t>
    </r>
    <r>
      <rPr>
        <sz val="9"/>
        <color indexed="12"/>
        <rFont val="宋体"/>
        <family val="3"/>
        <charset val="134"/>
      </rPr>
      <t>0</t>
    </r>
    <r>
      <rPr>
        <sz val="9"/>
        <rFont val="宋体"/>
        <family val="3"/>
        <charset val="134"/>
      </rPr>
      <t>，上公差为</t>
    </r>
    <r>
      <rPr>
        <sz val="9"/>
        <color indexed="12"/>
        <rFont val="宋体"/>
        <family val="3"/>
        <charset val="134"/>
      </rPr>
      <t>0.20</t>
    </r>
    <r>
      <rPr>
        <sz val="9"/>
        <rFont val="宋体"/>
        <family val="3"/>
        <charset val="134"/>
      </rPr>
      <t>，下公差为"</t>
    </r>
    <r>
      <rPr>
        <sz val="9"/>
        <color indexed="12"/>
        <rFont val="宋体"/>
        <family val="3"/>
        <charset val="134"/>
      </rPr>
      <t>\</t>
    </r>
    <r>
      <rPr>
        <sz val="9"/>
        <rFont val="宋体"/>
        <family val="3"/>
        <charset val="134"/>
      </rPr>
      <t>"）</t>
    </r>
  </si>
  <si>
    <t>测量人员</t>
  </si>
  <si>
    <t>量测变更</t>
  </si>
  <si>
    <t>模穴号</t>
  </si>
  <si>
    <t>样品数</t>
  </si>
  <si>
    <t>→</t>
  </si>
  <si>
    <t>←</t>
  </si>
  <si>
    <t>审核确认</t>
  </si>
  <si>
    <t>挂起待定</t>
  </si>
  <si>
    <t>制程能力状况</t>
  </si>
  <si>
    <t>改善对策</t>
  </si>
  <si>
    <t>尺寸
序号</t>
  </si>
  <si>
    <t>测量
工具</t>
  </si>
  <si>
    <r>
      <rPr>
        <sz val="11"/>
        <rFont val="宋体"/>
        <family val="3"/>
        <charset val="134"/>
      </rPr>
      <t>规格（</t>
    </r>
    <r>
      <rPr>
        <sz val="11"/>
        <rFont val="Arial"/>
        <family val="2"/>
      </rPr>
      <t>SPEC</t>
    </r>
    <r>
      <rPr>
        <sz val="11"/>
        <rFont val="宋体"/>
        <family val="3"/>
        <charset val="134"/>
      </rPr>
      <t>）</t>
    </r>
  </si>
  <si>
    <r>
      <rPr>
        <sz val="11"/>
        <rFont val="宋体"/>
        <family val="3"/>
        <charset val="134"/>
      </rPr>
      <t xml:space="preserve">平均值
</t>
    </r>
    <r>
      <rPr>
        <sz val="11"/>
        <rFont val="Arial"/>
        <family val="2"/>
      </rPr>
      <t>(Mean)</t>
    </r>
  </si>
  <si>
    <t>结果</t>
  </si>
  <si>
    <r>
      <rPr>
        <sz val="10"/>
        <rFont val="宋体"/>
        <family val="3"/>
        <charset val="134"/>
      </rPr>
      <t xml:space="preserve">标准差
</t>
    </r>
    <r>
      <rPr>
        <sz val="10"/>
        <rFont val="Arial"/>
        <family val="2"/>
      </rPr>
      <t>(StDev)</t>
    </r>
  </si>
  <si>
    <t>CP</t>
  </si>
  <si>
    <t>CPK</t>
  </si>
  <si>
    <t>Mean
Drift</t>
  </si>
  <si>
    <t>备注</t>
  </si>
  <si>
    <t>方案</t>
  </si>
  <si>
    <t>内容</t>
  </si>
  <si>
    <t>标准值</t>
  </si>
  <si>
    <t>上公差</t>
  </si>
  <si>
    <t>下公差</t>
  </si>
  <si>
    <t>上限</t>
  </si>
  <si>
    <t>下限</t>
  </si>
  <si>
    <t>UCPK</t>
  </si>
  <si>
    <t>LCPK</t>
  </si>
  <si>
    <t>Max</t>
  </si>
  <si>
    <t>Min</t>
  </si>
  <si>
    <r>
      <t>SPC</t>
    </r>
    <r>
      <rPr>
        <sz val="10"/>
        <rFont val="宋体"/>
        <family val="3"/>
        <charset val="134"/>
      </rPr>
      <t>尺寸</t>
    </r>
  </si>
  <si>
    <r>
      <t>FAI</t>
    </r>
    <r>
      <rPr>
        <sz val="10"/>
        <rFont val="宋体"/>
        <family val="3"/>
        <charset val="134"/>
      </rPr>
      <t>尺寸</t>
    </r>
  </si>
  <si>
    <r>
      <rPr>
        <sz val="10"/>
        <rFont val="Arial Narrow"/>
        <family val="2"/>
      </rPr>
      <t>SPC</t>
    </r>
    <r>
      <rPr>
        <sz val="10"/>
        <rFont val="Arial"/>
        <family val="2"/>
      </rPr>
      <t xml:space="preserve">
</t>
    </r>
    <r>
      <rPr>
        <sz val="10"/>
        <rFont val="Arial Narrow"/>
        <family val="2"/>
      </rPr>
      <t xml:space="preserve"> </t>
    </r>
    <r>
      <rPr>
        <sz val="10"/>
        <rFont val="Arial"/>
        <family val="2"/>
      </rPr>
      <t>No.</t>
    </r>
    <phoneticPr fontId="3" type="noConversion"/>
  </si>
  <si>
    <r>
      <rPr>
        <sz val="10"/>
        <rFont val="Arial Narrow"/>
        <family val="2"/>
      </rPr>
      <t>FAI</t>
    </r>
    <r>
      <rPr>
        <sz val="10"/>
        <rFont val="Arial"/>
        <family val="2"/>
      </rPr>
      <t xml:space="preserve">
</t>
    </r>
    <r>
      <rPr>
        <sz val="10"/>
        <rFont val="Arial Narrow"/>
        <family val="2"/>
      </rPr>
      <t xml:space="preserve"> </t>
    </r>
    <r>
      <rPr>
        <sz val="10"/>
        <rFont val="Arial"/>
        <family val="2"/>
      </rPr>
      <t>No.</t>
    </r>
    <phoneticPr fontId="3" type="noConversion"/>
  </si>
  <si>
    <r>
      <rPr>
        <sz val="9"/>
        <rFont val="宋体"/>
        <family val="3"/>
        <charset val="134"/>
      </rPr>
      <t>2.尺寸</t>
    </r>
    <r>
      <rPr>
        <sz val="9"/>
        <color indexed="10"/>
        <rFont val="宋体"/>
        <family val="3"/>
        <charset val="134"/>
      </rPr>
      <t>80%＜</t>
    </r>
    <r>
      <rPr>
        <sz val="9"/>
        <rFont val="宋体"/>
        <family val="3"/>
        <charset val="134"/>
      </rPr>
      <t>偏差</t>
    </r>
    <r>
      <rPr>
        <sz val="9"/>
        <color indexed="10"/>
        <rFont val="宋体"/>
        <family val="3"/>
        <charset val="134"/>
      </rPr>
      <t>＜-80%</t>
    </r>
    <r>
      <rPr>
        <sz val="9"/>
        <rFont val="宋体"/>
        <family val="3"/>
        <charset val="134"/>
      </rPr>
      <t>粉色警示；尺寸</t>
    </r>
    <r>
      <rPr>
        <sz val="9"/>
        <color indexed="10"/>
        <rFont val="宋体"/>
        <family val="3"/>
        <charset val="134"/>
      </rPr>
      <t>100%＜</t>
    </r>
    <r>
      <rPr>
        <sz val="9"/>
        <rFont val="宋体"/>
        <family val="3"/>
        <charset val="134"/>
      </rPr>
      <t>偏差</t>
    </r>
    <r>
      <rPr>
        <sz val="9"/>
        <color indexed="10"/>
        <rFont val="宋体"/>
        <family val="3"/>
        <charset val="134"/>
      </rPr>
      <t>＜-100%</t>
    </r>
    <r>
      <rPr>
        <sz val="9"/>
        <rFont val="宋体"/>
        <family val="3"/>
        <charset val="134"/>
      </rPr>
      <t>判定</t>
    </r>
    <r>
      <rPr>
        <sz val="9"/>
        <color indexed="10"/>
        <rFont val="宋体"/>
        <family val="3"/>
        <charset val="134"/>
      </rPr>
      <t>NG</t>
    </r>
  </si>
  <si>
    <r>
      <rPr>
        <sz val="11"/>
        <rFont val="宋体"/>
        <family val="3"/>
        <charset val="134"/>
      </rPr>
      <t xml:space="preserve">上超差
</t>
    </r>
    <r>
      <rPr>
        <sz val="11"/>
        <rFont val="Arial"/>
        <family val="2"/>
      </rPr>
      <t>(Max)</t>
    </r>
    <phoneticPr fontId="3" type="noConversion"/>
  </si>
  <si>
    <r>
      <rPr>
        <sz val="11"/>
        <rFont val="宋体"/>
        <family val="3"/>
        <charset val="134"/>
      </rPr>
      <t xml:space="preserve">下超差
</t>
    </r>
    <r>
      <rPr>
        <sz val="11"/>
        <rFont val="Arial"/>
        <family val="2"/>
      </rPr>
      <t>(Min)</t>
    </r>
    <phoneticPr fontId="3" type="noConversion"/>
  </si>
  <si>
    <t>T</t>
    <phoneticPr fontId="3" type="noConversion"/>
  </si>
  <si>
    <r>
      <t>Ver</t>
    </r>
    <r>
      <rPr>
        <sz val="8"/>
        <color indexed="8"/>
        <rFont val="宋体"/>
        <family val="3"/>
        <charset val="134"/>
      </rPr>
      <t>：</t>
    </r>
    <r>
      <rPr>
        <sz val="8"/>
        <color indexed="8"/>
        <rFont val="Calibri"/>
        <family val="2"/>
      </rPr>
      <t>V7.0</t>
    </r>
    <phoneticPr fontId="3" type="noConversion"/>
  </si>
  <si>
    <r>
      <t xml:space="preserve">尺寸测量报告
</t>
    </r>
    <r>
      <rPr>
        <b/>
        <sz val="16"/>
        <color indexed="8"/>
        <rFont val="Calibri"/>
        <family val="2"/>
      </rPr>
      <t>Dimension Report</t>
    </r>
    <phoneticPr fontId="3" type="noConversion"/>
  </si>
  <si>
    <r>
      <rPr>
        <sz val="9"/>
        <color theme="0"/>
        <rFont val="宋体"/>
        <family val="3"/>
        <charset val="134"/>
      </rPr>
      <t>上百分比</t>
    </r>
  </si>
  <si>
    <r>
      <rPr>
        <sz val="9"/>
        <color theme="0"/>
        <rFont val="宋体"/>
        <family val="3"/>
        <charset val="134"/>
      </rPr>
      <t>下百分比</t>
    </r>
  </si>
  <si>
    <r>
      <rPr>
        <sz val="9"/>
        <color theme="0"/>
        <rFont val="宋体"/>
        <family val="3"/>
        <charset val="134"/>
      </rPr>
      <t>尺寸上限</t>
    </r>
    <r>
      <rPr>
        <sz val="9"/>
        <color theme="0"/>
        <rFont val="Arial"/>
        <family val="2"/>
      </rPr>
      <t>80%</t>
    </r>
  </si>
  <si>
    <r>
      <rPr>
        <sz val="9"/>
        <color theme="0"/>
        <rFont val="宋体"/>
        <family val="3"/>
        <charset val="134"/>
      </rPr>
      <t>尺寸下限</t>
    </r>
    <r>
      <rPr>
        <sz val="9"/>
        <color theme="0"/>
        <rFont val="Arial"/>
        <family val="2"/>
      </rPr>
      <t>80%</t>
    </r>
  </si>
  <si>
    <r>
      <rPr>
        <sz val="9"/>
        <color theme="0"/>
        <rFont val="宋体"/>
        <family val="3"/>
        <charset val="134"/>
      </rPr>
      <t>上数值</t>
    </r>
  </si>
  <si>
    <r>
      <rPr>
        <sz val="9"/>
        <color theme="0"/>
        <rFont val="宋体"/>
        <family val="3"/>
        <charset val="134"/>
      </rPr>
      <t>下数值</t>
    </r>
  </si>
  <si>
    <r>
      <rPr>
        <sz val="9"/>
        <color theme="0"/>
        <rFont val="宋体"/>
        <family val="3"/>
        <charset val="134"/>
      </rPr>
      <t>上限</t>
    </r>
  </si>
  <si>
    <r>
      <rPr>
        <sz val="9"/>
        <color theme="0"/>
        <rFont val="宋体"/>
        <family val="3"/>
        <charset val="134"/>
      </rPr>
      <t>下限</t>
    </r>
  </si>
  <si>
    <r>
      <rPr>
        <sz val="9"/>
        <rFont val="宋体"/>
        <family val="3"/>
        <charset val="134"/>
      </rPr>
      <t>设备代码（</t>
    </r>
    <r>
      <rPr>
        <sz val="9"/>
        <color indexed="12"/>
        <rFont val="Arial"/>
        <family val="2"/>
      </rPr>
      <t>OMM</t>
    </r>
    <r>
      <rPr>
        <sz val="9"/>
        <rFont val="Arial"/>
        <family val="2"/>
      </rPr>
      <t>-</t>
    </r>
    <r>
      <rPr>
        <sz val="9"/>
        <rFont val="宋体"/>
        <family val="3"/>
        <charset val="134"/>
      </rPr>
      <t>影像仪</t>
    </r>
    <r>
      <rPr>
        <sz val="9"/>
        <rFont val="Arial"/>
        <family val="2"/>
      </rPr>
      <t xml:space="preserve"> </t>
    </r>
    <r>
      <rPr>
        <sz val="9"/>
        <color indexed="12"/>
        <rFont val="Arial"/>
        <family val="2"/>
      </rPr>
      <t>CMM</t>
    </r>
    <r>
      <rPr>
        <sz val="9"/>
        <rFont val="Arial"/>
        <family val="2"/>
      </rPr>
      <t>-</t>
    </r>
    <r>
      <rPr>
        <sz val="9"/>
        <rFont val="宋体"/>
        <family val="3"/>
        <charset val="134"/>
      </rPr>
      <t>三次元</t>
    </r>
    <r>
      <rPr>
        <sz val="9"/>
        <rFont val="Arial"/>
        <family val="2"/>
      </rPr>
      <t xml:space="preserve"> </t>
    </r>
    <r>
      <rPr>
        <sz val="9"/>
        <color indexed="12"/>
        <rFont val="Arial"/>
        <family val="2"/>
      </rPr>
      <t>HG</t>
    </r>
    <r>
      <rPr>
        <sz val="9"/>
        <rFont val="Arial"/>
        <family val="2"/>
      </rPr>
      <t>-</t>
    </r>
    <r>
      <rPr>
        <sz val="9"/>
        <rFont val="宋体"/>
        <family val="3"/>
        <charset val="134"/>
      </rPr>
      <t>高度规</t>
    </r>
    <r>
      <rPr>
        <sz val="9"/>
        <rFont val="Arial"/>
        <family val="2"/>
      </rPr>
      <t xml:space="preserve"> </t>
    </r>
    <r>
      <rPr>
        <sz val="9"/>
        <color indexed="12"/>
        <rFont val="Arial"/>
        <family val="2"/>
      </rPr>
      <t>MI</t>
    </r>
    <r>
      <rPr>
        <sz val="9"/>
        <rFont val="Arial"/>
        <family val="2"/>
      </rPr>
      <t>-</t>
    </r>
    <r>
      <rPr>
        <sz val="9"/>
        <rFont val="宋体"/>
        <family val="3"/>
        <charset val="134"/>
      </rPr>
      <t>千分尺</t>
    </r>
    <r>
      <rPr>
        <sz val="9"/>
        <rFont val="Arial"/>
        <family val="2"/>
      </rPr>
      <t xml:space="preserve"> </t>
    </r>
    <r>
      <rPr>
        <sz val="9"/>
        <color indexed="12"/>
        <rFont val="Arial"/>
        <family val="2"/>
      </rPr>
      <t>CA</t>
    </r>
    <r>
      <rPr>
        <sz val="9"/>
        <rFont val="Arial"/>
        <family val="2"/>
      </rPr>
      <t>-</t>
    </r>
    <r>
      <rPr>
        <sz val="9"/>
        <rFont val="宋体"/>
        <family val="3"/>
        <charset val="134"/>
      </rPr>
      <t>卡尺</t>
    </r>
    <r>
      <rPr>
        <sz val="9"/>
        <rFont val="Arial"/>
        <family val="2"/>
      </rPr>
      <t xml:space="preserve"> </t>
    </r>
    <r>
      <rPr>
        <sz val="9"/>
        <color indexed="12"/>
        <rFont val="Arial"/>
        <family val="2"/>
      </rPr>
      <t>PR</t>
    </r>
    <r>
      <rPr>
        <sz val="9"/>
        <rFont val="Arial"/>
        <family val="2"/>
      </rPr>
      <t>-</t>
    </r>
    <r>
      <rPr>
        <sz val="9"/>
        <rFont val="宋体"/>
        <family val="3"/>
        <charset val="134"/>
      </rPr>
      <t>轮廓仪）</t>
    </r>
    <phoneticPr fontId="3" type="noConversion"/>
  </si>
  <si>
    <t>QC</t>
    <phoneticPr fontId="3" type="noConversion"/>
  </si>
  <si>
    <r>
      <t>20±3</t>
    </r>
    <r>
      <rPr>
        <sz val="11"/>
        <rFont val="Segoe UI Symbol"/>
        <family val="3"/>
      </rPr>
      <t>℃</t>
    </r>
    <r>
      <rPr>
        <sz val="11"/>
        <rFont val="Arial"/>
        <family val="2"/>
      </rPr>
      <t xml:space="preserve"> 30%-70%</t>
    </r>
    <phoneticPr fontId="3" type="noConversion"/>
  </si>
  <si>
    <t>香槟</t>
    <phoneticPr fontId="3" type="noConversion"/>
  </si>
  <si>
    <t>OMM</t>
  </si>
  <si>
    <t>品质</t>
  </si>
  <si>
    <t>裙边宽度</t>
  </si>
  <si>
    <t>最大T值</t>
  </si>
  <si>
    <t>最小T值</t>
  </si>
  <si>
    <t>焊点直径</t>
  </si>
  <si>
    <t>焊接</t>
    <phoneticPr fontId="3" type="noConversion"/>
  </si>
  <si>
    <t>首件</t>
  </si>
  <si>
    <t>LY-DG-QA-SIP10000042021</t>
    <phoneticPr fontId="3" type="noConversion"/>
  </si>
  <si>
    <t>OMM</t>
    <phoneticPr fontId="3" type="noConversion"/>
  </si>
  <si>
    <t>FAI7.1_</t>
  </si>
  <si>
    <t>FAI7.2_</t>
  </si>
  <si>
    <t>FAI7.3_</t>
  </si>
  <si>
    <t>FAI7.4_</t>
  </si>
  <si>
    <t>FAI7.5_</t>
  </si>
  <si>
    <t>FAI7.6_</t>
  </si>
  <si>
    <t>FAI14.1_</t>
  </si>
  <si>
    <t>FAI14.2_</t>
  </si>
  <si>
    <t>FAI16.1_</t>
  </si>
  <si>
    <t>FAI16.2_</t>
  </si>
  <si>
    <t>FAI16.3_</t>
  </si>
  <si>
    <t>FAI17.1_</t>
    <phoneticPr fontId="3" type="noConversion"/>
  </si>
  <si>
    <t>FAI17.2_</t>
    <phoneticPr fontId="3" type="noConversion"/>
  </si>
  <si>
    <t>13</t>
    <phoneticPr fontId="3" type="noConversion"/>
  </si>
  <si>
    <t>C001</t>
    <phoneticPr fontId="3" type="noConversion"/>
  </si>
  <si>
    <t>MGP003</t>
    <phoneticPr fontId="3" type="noConversion"/>
  </si>
  <si>
    <t>金学克</t>
    <phoneticPr fontId="3" type="noConversion"/>
  </si>
  <si>
    <t>吴发燕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</si>
</sst>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yyyy/m/d;@"/>
    <numFmt numFmtId="177" formatCode="0.0%"/>
    <numFmt numFmtId="178" formatCode="h:mm;@"/>
    <numFmt numFmtId="179" formatCode="#&quot;#&quot;"/>
    <numFmt numFmtId="180" formatCode="0.00_ "/>
    <numFmt numFmtId="181" formatCode="0.000_ "/>
    <numFmt numFmtId="182" formatCode="0.0000_ "/>
    <numFmt numFmtId="183" formatCode="0_ "/>
  </numFmts>
  <fonts count="61">
    <font>
      <sz val="11"/>
      <color theme="1"/>
      <name val="宋体"/>
      <family val="2"/>
      <charset val="134"/>
      <scheme val="minor"/>
    </font>
    <font>
      <sz val="9"/>
      <color rgb="FF000000"/>
      <name val="宋体"/>
      <family val="3"/>
      <charset val="134"/>
    </font>
    <font>
      <sz val="11"/>
      <color indexed="8"/>
      <name val="微软雅黑"/>
      <family val="2"/>
      <charset val="134"/>
    </font>
    <font>
      <sz val="9"/>
      <name val="宋体"/>
      <family val="2"/>
      <charset val="134"/>
      <scheme val="minor"/>
    </font>
    <font>
      <b/>
      <sz val="24"/>
      <color indexed="8"/>
      <name val="黑体"/>
      <family val="3"/>
      <charset val="134"/>
    </font>
    <font>
      <b/>
      <sz val="16"/>
      <color indexed="8"/>
      <name val="Calibri"/>
      <family val="2"/>
    </font>
    <font>
      <sz val="9"/>
      <color indexed="8"/>
      <name val="宋体"/>
      <family val="3"/>
      <charset val="134"/>
    </font>
    <font>
      <sz val="8"/>
      <color indexed="8"/>
      <name val="Calibri"/>
      <family val="2"/>
    </font>
    <font>
      <sz val="8"/>
      <color indexed="8"/>
      <name val="宋体"/>
      <family val="3"/>
      <charset val="134"/>
    </font>
    <font>
      <sz val="11"/>
      <color indexed="22"/>
      <name val="宋体"/>
      <family val="3"/>
      <charset val="134"/>
    </font>
    <font>
      <b/>
      <sz val="24"/>
      <name val="黑体"/>
      <family val="3"/>
      <charset val="134"/>
    </font>
    <font>
      <b/>
      <sz val="24"/>
      <color indexed="8"/>
      <name val="宋体"/>
      <family val="3"/>
      <charset val="134"/>
    </font>
    <font>
      <sz val="28"/>
      <color indexed="22"/>
      <name val="华文细黑"/>
      <family val="3"/>
      <charset val="134"/>
    </font>
    <font>
      <sz val="9"/>
      <color indexed="60"/>
      <name val="微软雅黑"/>
      <family val="2"/>
      <charset val="134"/>
    </font>
    <font>
      <sz val="6"/>
      <color theme="0" tint="-0.249977111117893"/>
      <name val="微软雅黑"/>
      <family val="2"/>
      <charset val="134"/>
    </font>
    <font>
      <sz val="9"/>
      <color indexed="22"/>
      <name val="微软雅黑"/>
      <family val="2"/>
      <charset val="134"/>
    </font>
    <font>
      <sz val="24"/>
      <name val="黑体"/>
      <family val="3"/>
      <charset val="134"/>
    </font>
    <font>
      <sz val="24"/>
      <name val="Arial"/>
      <family val="2"/>
    </font>
    <font>
      <sz val="6"/>
      <color theme="0" tint="-0.249977111117893"/>
      <name val="Arial"/>
      <family val="2"/>
    </font>
    <font>
      <sz val="12"/>
      <color indexed="22"/>
      <name val="宋体"/>
      <family val="3"/>
      <charset val="134"/>
    </font>
    <font>
      <sz val="10"/>
      <name val="宋体"/>
      <family val="3"/>
      <charset val="134"/>
    </font>
    <font>
      <sz val="11"/>
      <name val="Arial"/>
      <family val="2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name val="黑体"/>
      <family val="3"/>
      <charset val="134"/>
    </font>
    <font>
      <sz val="9"/>
      <color indexed="10"/>
      <name val="宋体"/>
      <family val="3"/>
      <charset val="134"/>
    </font>
    <font>
      <b/>
      <sz val="12"/>
      <name val="Arial"/>
      <family val="2"/>
    </font>
    <font>
      <b/>
      <sz val="12"/>
      <color indexed="63"/>
      <name val="Arial"/>
      <family val="2"/>
    </font>
    <font>
      <sz val="36"/>
      <name val="Arial"/>
      <family val="2"/>
    </font>
    <font>
      <sz val="9"/>
      <color indexed="12"/>
      <name val="宋体"/>
      <family val="3"/>
      <charset val="134"/>
    </font>
    <font>
      <sz val="9"/>
      <name val="Arial"/>
      <family val="2"/>
    </font>
    <font>
      <sz val="9"/>
      <color indexed="12"/>
      <name val="Arial"/>
      <family val="2"/>
    </font>
    <font>
      <sz val="12"/>
      <color rgb="FF0000CC"/>
      <name val="Calibri"/>
      <family val="2"/>
    </font>
    <font>
      <sz val="11"/>
      <color indexed="63"/>
      <name val="黑体"/>
      <family val="3"/>
      <charset val="134"/>
    </font>
    <font>
      <sz val="11"/>
      <color indexed="63"/>
      <name val="宋体"/>
      <family val="3"/>
      <charset val="134"/>
    </font>
    <font>
      <sz val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sz val="11"/>
      <name val="宋体"/>
      <family val="2"/>
      <charset val="134"/>
      <scheme val="minor"/>
    </font>
    <font>
      <sz val="11"/>
      <name val="Arial"/>
      <family val="3"/>
      <charset val="134"/>
    </font>
    <font>
      <b/>
      <i/>
      <sz val="11"/>
      <color rgb="FFFF0000"/>
      <name val="Arial"/>
      <family val="2"/>
    </font>
    <font>
      <sz val="11"/>
      <color theme="0"/>
      <name val="宋体"/>
      <family val="2"/>
      <charset val="134"/>
      <scheme val="minor"/>
    </font>
    <font>
      <sz val="11"/>
      <color theme="0"/>
      <name val="宋体"/>
      <family val="3"/>
      <charset val="134"/>
    </font>
    <font>
      <sz val="11"/>
      <color theme="0"/>
      <name val="微软雅黑"/>
      <family val="2"/>
      <charset val="134"/>
    </font>
    <font>
      <sz val="12"/>
      <color theme="0"/>
      <name val="宋体"/>
      <family val="3"/>
      <charset val="134"/>
    </font>
    <font>
      <sz val="9"/>
      <color theme="0"/>
      <name val="华文细黑"/>
      <family val="3"/>
      <charset val="134"/>
    </font>
    <font>
      <sz val="28"/>
      <color theme="0"/>
      <name val="华文细黑"/>
      <family val="3"/>
      <charset val="134"/>
    </font>
    <font>
      <sz val="9"/>
      <color theme="0"/>
      <name val="微软雅黑"/>
      <family val="2"/>
      <charset val="134"/>
    </font>
    <font>
      <sz val="24"/>
      <color theme="0"/>
      <name val="Arial"/>
      <family val="2"/>
    </font>
    <font>
      <sz val="11"/>
      <color theme="0"/>
      <name val="Arial"/>
      <family val="2"/>
    </font>
    <font>
      <sz val="10"/>
      <color theme="0"/>
      <name val="宋体"/>
      <family val="3"/>
      <charset val="134"/>
    </font>
    <font>
      <sz val="9"/>
      <color theme="0"/>
      <name val="宋体"/>
      <family val="3"/>
      <charset val="134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9"/>
      <color theme="0"/>
      <name val="Arial"/>
      <family val="2"/>
    </font>
    <font>
      <sz val="11"/>
      <color rgb="FFDCDC00"/>
      <name val="宋体"/>
      <family val="2"/>
      <charset val="134"/>
      <scheme val="minor"/>
    </font>
    <font>
      <b/>
      <i/>
      <sz val="11"/>
      <color rgb="FF0070C0"/>
      <name val="Arial"/>
      <family val="2"/>
    </font>
    <font>
      <sz val="9"/>
      <name val="Arial"/>
      <family val="3"/>
      <charset val="134"/>
    </font>
    <font>
      <sz val="11"/>
      <name val="微软雅黑"/>
      <family val="2"/>
      <charset val="134"/>
    </font>
    <font>
      <sz val="12"/>
      <color rgb="FF0000CC"/>
      <name val="宋体"/>
      <family val="2"/>
      <charset val="134"/>
    </font>
    <font>
      <sz val="11"/>
      <name val="Segoe UI Symbol"/>
      <family val="3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79995117038483843"/>
        <bgColor indexed="64"/>
      </patternFill>
    </fill>
  </fills>
  <borders count="13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78">
    <xf numFmtId="0" fontId="0" fillId="0" borderId="0" xfId="0">
      <alignment vertical="center"/>
    </xf>
    <xf numFmtId="0" fontId="2" fillId="2" borderId="0" xfId="0" applyFont="1" applyFill="1" applyBorder="1" applyProtection="1">
      <alignment vertical="center"/>
    </xf>
    <xf numFmtId="0" fontId="4" fillId="2" borderId="0" xfId="0" applyFont="1" applyFill="1" applyBorder="1" applyAlignment="1" applyProtection="1">
      <alignment wrapText="1"/>
    </xf>
    <xf numFmtId="0" fontId="6" fillId="2" borderId="0" xfId="0" applyFont="1" applyFill="1" applyBorder="1" applyAlignment="1" applyProtection="1">
      <alignment horizontal="right" vertical="center"/>
    </xf>
    <xf numFmtId="0" fontId="7" fillId="2" borderId="0" xfId="0" applyFont="1" applyFill="1" applyBorder="1" applyAlignment="1" applyProtection="1">
      <alignment horizontal="right" vertical="top"/>
    </xf>
    <xf numFmtId="0" fontId="9" fillId="3" borderId="0" xfId="0" applyFont="1" applyFill="1" applyBorder="1" applyAlignment="1" applyProtection="1">
      <alignment horizontal="left" vertical="center"/>
    </xf>
    <xf numFmtId="0" fontId="0" fillId="0" borderId="0" xfId="0" applyBorder="1" applyProtection="1">
      <alignment vertical="center"/>
    </xf>
    <xf numFmtId="0" fontId="0" fillId="0" borderId="0" xfId="0" applyBorder="1" applyProtection="1">
      <alignment vertical="center"/>
      <protection locked="0"/>
    </xf>
    <xf numFmtId="0" fontId="10" fillId="2" borderId="0" xfId="0" applyFont="1" applyFill="1" applyBorder="1" applyAlignment="1" applyProtection="1">
      <alignment wrapText="1"/>
    </xf>
    <xf numFmtId="0" fontId="4" fillId="2" borderId="0" xfId="0" applyFont="1" applyFill="1" applyBorder="1" applyAlignment="1" applyProtection="1"/>
    <xf numFmtId="0" fontId="11" fillId="2" borderId="0" xfId="0" applyFont="1" applyFill="1" applyBorder="1" applyAlignment="1" applyProtection="1">
      <alignment horizontal="center"/>
    </xf>
    <xf numFmtId="0" fontId="12" fillId="3" borderId="0" xfId="0" applyFont="1" applyFill="1" applyBorder="1" applyAlignment="1" applyProtection="1">
      <alignment horizontal="left" vertical="center"/>
    </xf>
    <xf numFmtId="0" fontId="13" fillId="4" borderId="0" xfId="0" applyFont="1" applyFill="1" applyBorder="1" applyProtection="1">
      <alignment vertical="center"/>
    </xf>
    <xf numFmtId="0" fontId="14" fillId="4" borderId="0" xfId="0" applyFont="1" applyFill="1" applyBorder="1" applyProtection="1">
      <alignment vertical="center"/>
    </xf>
    <xf numFmtId="0" fontId="15" fillId="4" borderId="0" xfId="0" applyFont="1" applyFill="1" applyBorder="1" applyAlignment="1" applyProtection="1">
      <alignment horizontal="left" vertical="center"/>
    </xf>
    <xf numFmtId="0" fontId="19" fillId="3" borderId="0" xfId="0" applyFont="1" applyFill="1" applyBorder="1" applyAlignment="1" applyProtection="1">
      <alignment horizontal="left" vertical="center"/>
    </xf>
    <xf numFmtId="0" fontId="23" fillId="0" borderId="0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20" fillId="0" borderId="0" xfId="0" applyFont="1" applyBorder="1" applyProtection="1">
      <alignment vertical="center"/>
    </xf>
    <xf numFmtId="0" fontId="20" fillId="0" borderId="0" xfId="0" applyFont="1" applyBorder="1" applyProtection="1">
      <alignment vertical="center"/>
      <protection locked="0"/>
    </xf>
    <xf numFmtId="0" fontId="36" fillId="0" borderId="0" xfId="0" applyFont="1" applyBorder="1" applyProtection="1">
      <alignment vertical="center"/>
    </xf>
    <xf numFmtId="0" fontId="36" fillId="0" borderId="0" xfId="0" applyFont="1" applyBorder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0" fillId="0" borderId="0" xfId="0" applyFill="1" applyBorder="1" applyProtection="1">
      <alignment vertical="center"/>
    </xf>
    <xf numFmtId="9" fontId="0" fillId="0" borderId="0" xfId="0" applyNumberFormat="1" applyFill="1" applyBorder="1" applyProtection="1">
      <alignment vertical="center"/>
    </xf>
    <xf numFmtId="0" fontId="0" fillId="0" borderId="0" xfId="0" applyFill="1" applyBorder="1" applyAlignment="1" applyProtection="1">
      <alignment horizontal="center" vertical="center"/>
    </xf>
    <xf numFmtId="181" fontId="0" fillId="0" borderId="0" xfId="0" applyNumberFormat="1" applyBorder="1" applyProtection="1">
      <alignment vertical="center"/>
    </xf>
    <xf numFmtId="9" fontId="0" fillId="0" borderId="0" xfId="0" applyNumberFormat="1" applyBorder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16" fillId="3" borderId="0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8" fillId="3" borderId="0" xfId="0" applyFont="1" applyFill="1" applyBorder="1" applyAlignment="1" applyProtection="1">
      <alignment horizontal="center" vertical="center"/>
    </xf>
    <xf numFmtId="0" fontId="0" fillId="3" borderId="0" xfId="0" applyFill="1" applyBorder="1" applyProtection="1">
      <alignment vertical="center"/>
    </xf>
    <xf numFmtId="0" fontId="20" fillId="2" borderId="1" xfId="0" applyFont="1" applyFill="1" applyBorder="1" applyAlignment="1" applyProtection="1">
      <alignment vertical="center" shrinkToFit="1"/>
    </xf>
    <xf numFmtId="0" fontId="20" fillId="2" borderId="1" xfId="0" applyFont="1" applyFill="1" applyBorder="1" applyAlignment="1" applyProtection="1">
      <alignment horizontal="left" vertical="center"/>
    </xf>
    <xf numFmtId="0" fontId="21" fillId="2" borderId="1" xfId="0" applyFont="1" applyFill="1" applyBorder="1" applyAlignment="1" applyProtection="1">
      <alignment horizontal="left" vertical="center"/>
    </xf>
    <xf numFmtId="0" fontId="21" fillId="0" borderId="1" xfId="0" applyFont="1" applyFill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vertical="center"/>
    </xf>
    <xf numFmtId="0" fontId="23" fillId="2" borderId="1" xfId="0" applyFont="1" applyFill="1" applyBorder="1" applyAlignment="1" applyProtection="1">
      <alignment vertical="center" shrinkToFit="1"/>
    </xf>
    <xf numFmtId="0" fontId="23" fillId="2" borderId="1" xfId="0" applyFont="1" applyFill="1" applyBorder="1" applyAlignment="1" applyProtection="1">
      <alignment horizontal="left" vertical="center"/>
    </xf>
    <xf numFmtId="0" fontId="23" fillId="2" borderId="1" xfId="0" applyFont="1" applyFill="1" applyBorder="1" applyProtection="1">
      <alignment vertical="center"/>
    </xf>
    <xf numFmtId="0" fontId="32" fillId="2" borderId="1" xfId="0" applyFont="1" applyFill="1" applyBorder="1" applyAlignment="1" applyProtection="1">
      <alignment horizontal="center" vertical="center" shrinkToFit="1"/>
      <protection locked="0"/>
    </xf>
    <xf numFmtId="49" fontId="23" fillId="2" borderId="1" xfId="0" applyNumberFormat="1" applyFont="1" applyFill="1" applyBorder="1" applyProtection="1">
      <alignment vertical="center"/>
    </xf>
    <xf numFmtId="0" fontId="23" fillId="2" borderId="1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horizontal="center" vertical="center" shrinkToFit="1"/>
    </xf>
    <xf numFmtId="0" fontId="21" fillId="0" borderId="1" xfId="0" applyNumberFormat="1" applyFont="1" applyBorder="1" applyAlignment="1" applyProtection="1">
      <alignment horizontal="center" vertical="center" shrinkToFit="1"/>
      <protection locked="0"/>
    </xf>
    <xf numFmtId="49" fontId="21" fillId="0" borderId="1" xfId="0" applyNumberFormat="1" applyFont="1" applyBorder="1" applyAlignment="1" applyProtection="1">
      <alignment horizontal="center" vertical="center" shrinkToFit="1"/>
      <protection locked="0"/>
    </xf>
    <xf numFmtId="181" fontId="21" fillId="0" borderId="1" xfId="0" applyNumberFormat="1" applyFont="1" applyBorder="1" applyAlignment="1" applyProtection="1">
      <alignment horizontal="center" vertical="center" shrinkToFit="1"/>
      <protection locked="0"/>
    </xf>
    <xf numFmtId="181" fontId="21" fillId="7" borderId="1" xfId="0" applyNumberFormat="1" applyFont="1" applyFill="1" applyBorder="1" applyAlignment="1" applyProtection="1">
      <alignment horizontal="center" vertical="center" shrinkToFit="1"/>
    </xf>
    <xf numFmtId="180" fontId="21" fillId="7" borderId="1" xfId="0" applyNumberFormat="1" applyFont="1" applyFill="1" applyBorder="1" applyAlignment="1" applyProtection="1">
      <alignment horizontal="center" vertical="center" shrinkToFit="1"/>
    </xf>
    <xf numFmtId="0" fontId="36" fillId="7" borderId="1" xfId="0" applyFont="1" applyFill="1" applyBorder="1" applyAlignment="1" applyProtection="1">
      <alignment horizontal="center" vertical="center" shrinkToFit="1"/>
    </xf>
    <xf numFmtId="182" fontId="21" fillId="8" borderId="1" xfId="0" applyNumberFormat="1" applyFont="1" applyFill="1" applyBorder="1" applyAlignment="1" applyProtection="1">
      <alignment horizontal="center" vertical="center" shrinkToFit="1"/>
    </xf>
    <xf numFmtId="180" fontId="21" fillId="8" borderId="1" xfId="0" applyNumberFormat="1" applyFont="1" applyFill="1" applyBorder="1" applyAlignment="1" applyProtection="1">
      <alignment horizontal="center" vertical="center" shrinkToFit="1"/>
    </xf>
    <xf numFmtId="0" fontId="23" fillId="2" borderId="2" xfId="0" applyFont="1" applyFill="1" applyBorder="1" applyAlignment="1" applyProtection="1">
      <alignment vertical="center"/>
    </xf>
    <xf numFmtId="0" fontId="0" fillId="2" borderId="4" xfId="0" applyFill="1" applyBorder="1" applyProtection="1">
      <alignment vertical="center"/>
    </xf>
    <xf numFmtId="0" fontId="22" fillId="0" borderId="2" xfId="0" applyFont="1" applyBorder="1" applyAlignment="1" applyProtection="1">
      <alignment vertical="center"/>
    </xf>
    <xf numFmtId="0" fontId="0" fillId="0" borderId="4" xfId="0" applyFont="1" applyBorder="1" applyAlignment="1" applyProtection="1">
      <alignment horizontal="right" vertical="center"/>
    </xf>
    <xf numFmtId="0" fontId="35" fillId="2" borderId="2" xfId="0" applyFont="1" applyFill="1" applyBorder="1" applyAlignment="1" applyProtection="1">
      <alignment horizontal="left" vertical="center"/>
    </xf>
    <xf numFmtId="0" fontId="21" fillId="2" borderId="4" xfId="0" applyFont="1" applyFill="1" applyBorder="1" applyAlignment="1" applyProtection="1">
      <alignment horizontal="center" vertical="center"/>
    </xf>
    <xf numFmtId="0" fontId="21" fillId="2" borderId="3" xfId="0" applyNumberFormat="1" applyFont="1" applyFill="1" applyBorder="1" applyAlignment="1" applyProtection="1">
      <alignment horizontal="center" vertical="center"/>
    </xf>
    <xf numFmtId="0" fontId="24" fillId="2" borderId="3" xfId="0" applyFont="1" applyFill="1" applyBorder="1" applyAlignment="1" applyProtection="1">
      <alignment horizontal="right" vertical="center"/>
    </xf>
    <xf numFmtId="0" fontId="20" fillId="2" borderId="3" xfId="0" applyFont="1" applyFill="1" applyBorder="1" applyAlignment="1" applyProtection="1">
      <alignment horizontal="right" vertical="center"/>
    </xf>
    <xf numFmtId="0" fontId="21" fillId="2" borderId="3" xfId="0" applyFont="1" applyFill="1" applyBorder="1" applyAlignment="1" applyProtection="1">
      <alignment horizontal="center" vertical="center"/>
    </xf>
    <xf numFmtId="0" fontId="22" fillId="0" borderId="5" xfId="0" applyFont="1" applyFill="1" applyBorder="1" applyAlignment="1" applyProtection="1">
      <alignment vertical="center"/>
    </xf>
    <xf numFmtId="0" fontId="0" fillId="0" borderId="6" xfId="0" applyBorder="1" applyProtection="1">
      <alignment vertical="center"/>
    </xf>
    <xf numFmtId="0" fontId="23" fillId="0" borderId="6" xfId="0" applyFont="1" applyFill="1" applyBorder="1" applyAlignment="1" applyProtection="1">
      <alignment vertical="center"/>
    </xf>
    <xf numFmtId="0" fontId="0" fillId="0" borderId="6" xfId="0" applyFill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0" fontId="22" fillId="0" borderId="8" xfId="0" applyFont="1" applyFill="1" applyBorder="1" applyAlignment="1" applyProtection="1">
      <alignment vertical="center"/>
    </xf>
    <xf numFmtId="0" fontId="0" fillId="0" borderId="9" xfId="0" applyBorder="1" applyAlignment="1" applyProtection="1">
      <alignment vertical="center"/>
    </xf>
    <xf numFmtId="0" fontId="22" fillId="0" borderId="10" xfId="0" applyFont="1" applyFill="1" applyBorder="1" applyAlignment="1" applyProtection="1">
      <alignment vertical="center"/>
    </xf>
    <xf numFmtId="0" fontId="0" fillId="0" borderId="11" xfId="0" applyBorder="1" applyProtection="1">
      <alignment vertical="center"/>
    </xf>
    <xf numFmtId="0" fontId="23" fillId="0" borderId="11" xfId="0" applyFont="1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/>
    </xf>
    <xf numFmtId="0" fontId="0" fillId="0" borderId="12" xfId="0" applyBorder="1" applyAlignment="1" applyProtection="1">
      <alignment vertical="center"/>
    </xf>
    <xf numFmtId="0" fontId="20" fillId="3" borderId="1" xfId="0" applyFont="1" applyFill="1" applyBorder="1" applyAlignment="1" applyProtection="1">
      <alignment horizontal="center" vertical="center" shrinkToFit="1"/>
    </xf>
    <xf numFmtId="0" fontId="20" fillId="3" borderId="1" xfId="0" applyFont="1" applyFill="1" applyBorder="1" applyAlignment="1" applyProtection="1">
      <alignment horizontal="center" vertical="center"/>
    </xf>
    <xf numFmtId="0" fontId="20" fillId="5" borderId="1" xfId="0" applyFont="1" applyFill="1" applyBorder="1" applyAlignment="1" applyProtection="1">
      <alignment horizontal="center" vertical="center" shrinkToFit="1"/>
    </xf>
    <xf numFmtId="0" fontId="23" fillId="0" borderId="1" xfId="0" applyFont="1" applyFill="1" applyBorder="1" applyAlignment="1" applyProtection="1">
      <alignment horizontal="center" vertical="center"/>
    </xf>
    <xf numFmtId="177" fontId="23" fillId="0" borderId="1" xfId="0" applyNumberFormat="1" applyFont="1" applyFill="1" applyBorder="1" applyAlignment="1" applyProtection="1">
      <alignment horizontal="center" vertical="center"/>
    </xf>
    <xf numFmtId="180" fontId="23" fillId="6" borderId="1" xfId="0" applyNumberFormat="1" applyFont="1" applyFill="1" applyBorder="1" applyAlignment="1" applyProtection="1">
      <alignment horizontal="center" vertical="center" shrinkToFit="1"/>
      <protection locked="0"/>
    </xf>
    <xf numFmtId="0" fontId="23" fillId="6" borderId="1" xfId="0" applyFont="1" applyFill="1" applyBorder="1" applyAlignment="1" applyProtection="1">
      <alignment horizontal="center" vertical="center" shrinkToFit="1"/>
      <protection locked="0"/>
    </xf>
    <xf numFmtId="0" fontId="20" fillId="2" borderId="2" xfId="0" applyFont="1" applyFill="1" applyBorder="1" applyAlignment="1" applyProtection="1">
      <alignment horizontal="left" vertical="center"/>
    </xf>
    <xf numFmtId="0" fontId="21" fillId="2" borderId="4" xfId="0" applyFont="1" applyFill="1" applyBorder="1" applyAlignment="1" applyProtection="1">
      <alignment horizontal="left" vertical="center"/>
    </xf>
    <xf numFmtId="181" fontId="21" fillId="8" borderId="1" xfId="0" applyNumberFormat="1" applyFont="1" applyFill="1" applyBorder="1" applyAlignment="1" applyProtection="1">
      <alignment horizontal="center" vertical="center" shrinkToFit="1"/>
    </xf>
    <xf numFmtId="0" fontId="38" fillId="0" borderId="0" xfId="0" applyFont="1" applyBorder="1" applyProtection="1">
      <alignment vertical="center"/>
    </xf>
    <xf numFmtId="9" fontId="40" fillId="7" borderId="1" xfId="0" applyNumberFormat="1" applyFont="1" applyFill="1" applyBorder="1" applyAlignment="1" applyProtection="1">
      <alignment horizontal="center" vertical="center" shrinkToFit="1"/>
    </xf>
    <xf numFmtId="0" fontId="42" fillId="0" borderId="0" xfId="0" applyFont="1" applyFill="1" applyBorder="1" applyAlignment="1" applyProtection="1">
      <alignment horizontal="left" vertical="center"/>
      <protection locked="0"/>
    </xf>
    <xf numFmtId="0" fontId="43" fillId="0" borderId="0" xfId="0" applyFont="1" applyFill="1" applyBorder="1" applyProtection="1">
      <alignment vertical="center"/>
    </xf>
    <xf numFmtId="0" fontId="44" fillId="0" borderId="0" xfId="0" applyFont="1" applyBorder="1" applyProtection="1">
      <alignment vertical="center"/>
    </xf>
    <xf numFmtId="0" fontId="41" fillId="0" borderId="0" xfId="0" applyFont="1" applyBorder="1" applyProtection="1">
      <alignment vertical="center"/>
    </xf>
    <xf numFmtId="0" fontId="45" fillId="0" borderId="0" xfId="0" applyFont="1" applyFill="1" applyBorder="1" applyAlignment="1" applyProtection="1">
      <alignment horizontal="left" vertical="center"/>
      <protection locked="0"/>
    </xf>
    <xf numFmtId="0" fontId="46" fillId="0" borderId="0" xfId="0" applyFont="1" applyFill="1" applyBorder="1" applyAlignment="1" applyProtection="1">
      <alignment horizontal="left" vertical="center"/>
      <protection locked="0"/>
    </xf>
    <xf numFmtId="0" fontId="46" fillId="0" borderId="0" xfId="0" applyFont="1" applyFill="1" applyBorder="1" applyAlignment="1" applyProtection="1">
      <alignment vertical="center"/>
    </xf>
    <xf numFmtId="0" fontId="47" fillId="0" borderId="0" xfId="0" applyFont="1" applyFill="1" applyBorder="1" applyAlignment="1" applyProtection="1">
      <alignment horizontal="left" vertical="center"/>
      <protection locked="0"/>
    </xf>
    <xf numFmtId="0" fontId="47" fillId="0" borderId="0" xfId="0" applyFont="1" applyFill="1" applyBorder="1" applyProtection="1">
      <alignment vertical="center"/>
    </xf>
    <xf numFmtId="0" fontId="44" fillId="0" borderId="0" xfId="0" applyFont="1" applyFill="1" applyBorder="1" applyAlignment="1" applyProtection="1">
      <alignment horizontal="left" vertical="center"/>
      <protection locked="0"/>
    </xf>
    <xf numFmtId="0" fontId="44" fillId="0" borderId="0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left" vertical="center"/>
    </xf>
    <xf numFmtId="0" fontId="48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vertical="center"/>
    </xf>
    <xf numFmtId="181" fontId="49" fillId="0" borderId="0" xfId="0" applyNumberFormat="1" applyFont="1" applyFill="1" applyBorder="1" applyAlignment="1" applyProtection="1">
      <alignment horizontal="left" vertical="center"/>
    </xf>
    <xf numFmtId="0" fontId="49" fillId="0" borderId="0" xfId="0" applyFont="1" applyFill="1" applyBorder="1" applyAlignment="1" applyProtection="1">
      <alignment horizontal="left" vertical="center"/>
      <protection locked="0"/>
    </xf>
    <xf numFmtId="0" fontId="49" fillId="0" borderId="0" xfId="0" applyFont="1" applyFill="1" applyBorder="1" applyAlignment="1" applyProtection="1">
      <alignment horizontal="left" vertical="center"/>
    </xf>
    <xf numFmtId="0" fontId="44" fillId="0" borderId="0" xfId="0" applyFont="1" applyFill="1" applyBorder="1" applyAlignment="1" applyProtection="1">
      <alignment horizontal="center" vertical="center"/>
    </xf>
    <xf numFmtId="0" fontId="50" fillId="0" borderId="0" xfId="0" applyNumberFormat="1" applyFont="1" applyFill="1" applyBorder="1" applyAlignment="1" applyProtection="1">
      <alignment horizontal="left" vertical="center"/>
    </xf>
    <xf numFmtId="49" fontId="50" fillId="0" borderId="0" xfId="0" applyNumberFormat="1" applyFont="1" applyFill="1" applyBorder="1" applyAlignment="1" applyProtection="1">
      <alignment horizontal="left" vertical="center"/>
    </xf>
    <xf numFmtId="0" fontId="50" fillId="0" borderId="0" xfId="0" applyFont="1" applyFill="1" applyBorder="1" applyProtection="1">
      <alignment vertical="center"/>
    </xf>
    <xf numFmtId="0" fontId="50" fillId="0" borderId="0" xfId="0" applyFont="1" applyBorder="1" applyProtection="1">
      <alignment vertical="center"/>
    </xf>
    <xf numFmtId="0" fontId="51" fillId="0" borderId="0" xfId="0" applyFont="1" applyFill="1" applyBorder="1" applyAlignment="1" applyProtection="1">
      <alignment horizontal="left" vertical="center"/>
    </xf>
    <xf numFmtId="0" fontId="50" fillId="0" borderId="0" xfId="0" applyFont="1" applyFill="1" applyBorder="1" applyAlignment="1" applyProtection="1">
      <alignment horizontal="center" vertical="center"/>
    </xf>
    <xf numFmtId="0" fontId="52" fillId="0" borderId="0" xfId="0" applyFont="1" applyBorder="1" applyProtection="1">
      <alignment vertical="center"/>
    </xf>
    <xf numFmtId="0" fontId="53" fillId="0" borderId="0" xfId="0" applyFont="1" applyBorder="1" applyProtection="1">
      <alignment vertical="center"/>
    </xf>
    <xf numFmtId="0" fontId="54" fillId="0" borderId="0" xfId="0" quotePrefix="1" applyFont="1" applyFill="1" applyBorder="1" applyAlignment="1" applyProtection="1">
      <alignment horizontal="center" vertical="center"/>
    </xf>
    <xf numFmtId="0" fontId="54" fillId="0" borderId="0" xfId="0" applyFont="1" applyFill="1" applyBorder="1" applyAlignment="1" applyProtection="1">
      <alignment horizontal="center" vertical="center"/>
    </xf>
    <xf numFmtId="0" fontId="54" fillId="0" borderId="0" xfId="0" applyFont="1" applyBorder="1" applyAlignment="1" applyProtection="1">
      <alignment horizontal="center" vertical="center"/>
    </xf>
    <xf numFmtId="0" fontId="53" fillId="0" borderId="0" xfId="0" applyFont="1" applyBorder="1" applyProtection="1">
      <alignment vertical="center"/>
      <protection locked="0"/>
    </xf>
    <xf numFmtId="183" fontId="42" fillId="0" borderId="0" xfId="0" applyNumberFormat="1" applyFont="1" applyFill="1" applyBorder="1" applyAlignment="1" applyProtection="1">
      <alignment horizontal="left" vertical="center"/>
    </xf>
    <xf numFmtId="180" fontId="54" fillId="0" borderId="0" xfId="0" applyNumberFormat="1" applyFont="1" applyFill="1" applyBorder="1" applyAlignment="1" applyProtection="1">
      <alignment horizontal="center" vertical="center"/>
    </xf>
    <xf numFmtId="180" fontId="54" fillId="0" borderId="0" xfId="0" applyNumberFormat="1" applyFont="1" applyBorder="1" applyAlignment="1" applyProtection="1">
      <alignment horizontal="center" vertical="center"/>
    </xf>
    <xf numFmtId="0" fontId="54" fillId="0" borderId="0" xfId="0" applyFont="1" applyBorder="1" applyProtection="1">
      <alignment vertical="center"/>
    </xf>
    <xf numFmtId="9" fontId="52" fillId="0" borderId="0" xfId="0" applyNumberFormat="1" applyFont="1" applyFill="1" applyBorder="1" applyAlignment="1" applyProtection="1">
      <alignment horizontal="center" vertical="center"/>
    </xf>
    <xf numFmtId="0" fontId="44" fillId="0" borderId="0" xfId="0" applyFont="1" applyFill="1" applyBorder="1" applyProtection="1">
      <alignment vertical="center"/>
    </xf>
    <xf numFmtId="0" fontId="53" fillId="0" borderId="0" xfId="0" applyFont="1" applyFill="1" applyBorder="1" applyProtection="1">
      <alignment vertical="center"/>
    </xf>
    <xf numFmtId="0" fontId="55" fillId="0" borderId="0" xfId="0" applyFont="1" applyFill="1" applyBorder="1" applyAlignment="1" applyProtection="1">
      <alignment vertical="center"/>
    </xf>
    <xf numFmtId="9" fontId="56" fillId="7" borderId="1" xfId="0" applyNumberFormat="1" applyFont="1" applyFill="1" applyBorder="1" applyAlignment="1" applyProtection="1">
      <alignment horizontal="center" vertical="center" shrinkToFit="1"/>
    </xf>
    <xf numFmtId="0" fontId="57" fillId="2" borderId="1" xfId="0" applyFont="1" applyFill="1" applyBorder="1" applyAlignment="1" applyProtection="1">
      <alignment vertical="center"/>
    </xf>
    <xf numFmtId="0" fontId="21" fillId="2" borderId="2" xfId="0" applyNumberFormat="1" applyFont="1" applyFill="1" applyBorder="1" applyAlignment="1" applyProtection="1">
      <alignment horizontal="center" vertical="center"/>
    </xf>
    <xf numFmtId="12" fontId="33" fillId="2" borderId="4" xfId="0" applyNumberFormat="1" applyFont="1" applyFill="1" applyBorder="1" applyProtection="1">
      <alignment vertical="center"/>
    </xf>
    <xf numFmtId="0" fontId="33" fillId="2" borderId="2" xfId="0" applyFont="1" applyFill="1" applyBorder="1" applyProtection="1">
      <alignment vertical="center"/>
    </xf>
    <xf numFmtId="0" fontId="34" fillId="2" borderId="4" xfId="0" applyFont="1" applyFill="1" applyBorder="1" applyAlignment="1" applyProtection="1">
      <alignment horizontal="left" vertical="center" shrinkToFit="1"/>
    </xf>
    <xf numFmtId="0" fontId="23" fillId="0" borderId="1" xfId="0" applyNumberFormat="1" applyFont="1" applyBorder="1" applyAlignment="1" applyProtection="1">
      <alignment horizontal="center" vertical="center" shrinkToFit="1"/>
      <protection locked="0"/>
    </xf>
    <xf numFmtId="0" fontId="59" fillId="2" borderId="1" xfId="0" applyFont="1" applyFill="1" applyBorder="1" applyAlignment="1" applyProtection="1">
      <alignment horizontal="center" vertical="center" shrinkToFit="1"/>
      <protection locked="0"/>
    </xf>
    <xf numFmtId="58" fontId="59" fillId="2" borderId="1" xfId="0" applyNumberFormat="1" applyFont="1" applyFill="1" applyBorder="1" applyAlignment="1" applyProtection="1">
      <alignment horizontal="center" vertical="center" shrinkToFit="1"/>
      <protection locked="0"/>
    </xf>
    <xf numFmtId="58" fontId="32" fillId="2" borderId="1" xfId="0" applyNumberFormat="1" applyFont="1" applyFill="1" applyBorder="1" applyAlignment="1" applyProtection="1">
      <alignment horizontal="center" vertical="center" shrinkToFit="1"/>
      <protection locked="0"/>
    </xf>
    <xf numFmtId="49" fontId="23" fillId="0" borderId="1" xfId="0" applyNumberFormat="1" applyFont="1" applyFill="1" applyBorder="1" applyAlignment="1" applyProtection="1">
      <alignment horizontal="left" vertical="center" wrapText="1"/>
      <protection locked="0"/>
    </xf>
    <xf numFmtId="0" fontId="23" fillId="0" borderId="1" xfId="0" applyFont="1" applyBorder="1" applyAlignment="1" applyProtection="1">
      <alignment horizontal="left" vertical="center" wrapText="1"/>
      <protection locked="0"/>
    </xf>
    <xf numFmtId="0" fontId="35" fillId="2" borderId="1" xfId="0" applyFont="1" applyFill="1" applyBorder="1" applyAlignment="1" applyProtection="1">
      <alignment horizontal="center" vertical="center" wrapText="1"/>
    </xf>
    <xf numFmtId="0" fontId="35" fillId="2" borderId="1" xfId="0" applyFont="1" applyFill="1" applyBorder="1" applyAlignment="1" applyProtection="1">
      <alignment horizontal="center" vertical="center"/>
    </xf>
    <xf numFmtId="0" fontId="21" fillId="2" borderId="1" xfId="0" applyFont="1" applyFill="1" applyBorder="1" applyAlignment="1" applyProtection="1">
      <alignment horizontal="center" vertical="center"/>
    </xf>
    <xf numFmtId="0" fontId="21" fillId="2" borderId="1" xfId="0" applyFont="1" applyFill="1" applyBorder="1" applyAlignment="1" applyProtection="1">
      <alignment horizontal="center" vertical="center" wrapText="1"/>
    </xf>
    <xf numFmtId="49" fontId="23" fillId="3" borderId="1" xfId="0" applyNumberFormat="1" applyFont="1" applyFill="1" applyBorder="1" applyAlignment="1" applyProtection="1">
      <alignment horizontal="center" vertical="center"/>
      <protection locked="0"/>
    </xf>
    <xf numFmtId="0" fontId="23" fillId="0" borderId="1" xfId="0" applyFont="1" applyBorder="1" applyAlignment="1">
      <alignment horizontal="center" vertical="center"/>
    </xf>
    <xf numFmtId="49" fontId="23" fillId="3" borderId="1" xfId="0" applyNumberFormat="1" applyFont="1" applyFill="1" applyBorder="1" applyAlignment="1" applyProtection="1">
      <alignment horizontal="center" vertical="center"/>
    </xf>
    <xf numFmtId="180" fontId="23" fillId="0" borderId="1" xfId="0" applyNumberFormat="1" applyFont="1" applyFill="1" applyBorder="1" applyAlignment="1" applyProtection="1">
      <alignment horizontal="left" vertical="center" wrapText="1"/>
      <protection locked="0"/>
    </xf>
    <xf numFmtId="180" fontId="23" fillId="0" borderId="1" xfId="0" applyNumberFormat="1" applyFont="1" applyBorder="1" applyAlignment="1" applyProtection="1">
      <alignment horizontal="left" vertical="center" wrapText="1"/>
      <protection locked="0"/>
    </xf>
    <xf numFmtId="0" fontId="0" fillId="2" borderId="1" xfId="0" applyFont="1" applyFill="1" applyBorder="1" applyAlignment="1" applyProtection="1">
      <alignment horizontal="center" vertical="center"/>
    </xf>
    <xf numFmtId="0" fontId="36" fillId="2" borderId="1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horizontal="center" vertical="center" wrapText="1"/>
    </xf>
    <xf numFmtId="0" fontId="35" fillId="2" borderId="1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/>
    </xf>
    <xf numFmtId="176" fontId="21" fillId="0" borderId="2" xfId="0" applyNumberFormat="1" applyFont="1" applyFill="1" applyBorder="1" applyAlignment="1" applyProtection="1">
      <alignment horizontal="right" vertical="center"/>
      <protection locked="0"/>
    </xf>
    <xf numFmtId="176" fontId="21" fillId="0" borderId="3" xfId="0" applyNumberFormat="1" applyFont="1" applyFill="1" applyBorder="1" applyAlignment="1" applyProtection="1">
      <alignment horizontal="right" vertical="center"/>
      <protection locked="0"/>
    </xf>
    <xf numFmtId="178" fontId="21" fillId="0" borderId="3" xfId="0" applyNumberFormat="1" applyFont="1" applyFill="1" applyBorder="1" applyAlignment="1" applyProtection="1">
      <alignment horizontal="left" vertical="center"/>
      <protection locked="0"/>
    </xf>
    <xf numFmtId="178" fontId="21" fillId="0" borderId="4" xfId="0" applyNumberFormat="1" applyFont="1" applyFill="1" applyBorder="1" applyAlignment="1" applyProtection="1">
      <alignment horizontal="left" vertical="center"/>
      <protection locked="0"/>
    </xf>
    <xf numFmtId="0" fontId="21" fillId="0" borderId="1" xfId="0" applyFont="1" applyFill="1" applyBorder="1" applyAlignment="1" applyProtection="1">
      <alignment horizontal="left" vertical="center" shrinkToFit="1"/>
      <protection locked="0"/>
    </xf>
    <xf numFmtId="0" fontId="21" fillId="0" borderId="1" xfId="0" applyNumberFormat="1" applyFont="1" applyBorder="1" applyAlignment="1" applyProtection="1">
      <alignment horizontal="left" vertical="center" shrinkToFit="1"/>
      <protection locked="0"/>
    </xf>
    <xf numFmtId="0" fontId="58" fillId="0" borderId="1" xfId="0" applyFont="1" applyFill="1" applyBorder="1" applyAlignment="1" applyProtection="1">
      <alignment horizontal="center" vertical="center"/>
      <protection locked="0"/>
    </xf>
    <xf numFmtId="0" fontId="21" fillId="0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Border="1" applyAlignment="1" applyProtection="1">
      <alignment horizontal="center" wrapText="1"/>
    </xf>
    <xf numFmtId="14" fontId="21" fillId="0" borderId="1" xfId="0" applyNumberFormat="1" applyFont="1" applyFill="1" applyBorder="1" applyAlignment="1" applyProtection="1">
      <alignment horizontal="left" vertical="center" shrinkToFit="1"/>
      <protection locked="0"/>
    </xf>
    <xf numFmtId="0" fontId="23" fillId="2" borderId="3" xfId="0" applyFont="1" applyFill="1" applyBorder="1" applyAlignment="1" applyProtection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20" fillId="2" borderId="3" xfId="0" applyFont="1" applyFill="1" applyBorder="1" applyAlignment="1" applyProtection="1">
      <alignment horizontal="right" vertical="center"/>
    </xf>
    <xf numFmtId="0" fontId="21" fillId="2" borderId="1" xfId="0" applyFont="1" applyFill="1" applyBorder="1" applyAlignment="1" applyProtection="1">
      <alignment horizontal="center" vertical="center"/>
      <protection locked="0"/>
    </xf>
    <xf numFmtId="180" fontId="39" fillId="2" borderId="1" xfId="0" applyNumberFormat="1" applyFont="1" applyFill="1" applyBorder="1" applyAlignment="1" applyProtection="1">
      <alignment horizontal="center" vertical="center" wrapText="1"/>
    </xf>
    <xf numFmtId="180" fontId="21" fillId="2" borderId="1" xfId="0" applyNumberFormat="1" applyFont="1" applyFill="1" applyBorder="1" applyAlignment="1" applyProtection="1">
      <alignment horizontal="center" vertical="center"/>
    </xf>
    <xf numFmtId="176" fontId="58" fillId="0" borderId="1" xfId="0" applyNumberFormat="1" applyFont="1" applyBorder="1" applyAlignment="1" applyProtection="1">
      <alignment horizontal="left" vertical="center" shrinkToFit="1"/>
      <protection locked="0"/>
    </xf>
    <xf numFmtId="176" fontId="21" fillId="0" borderId="1" xfId="0" applyNumberFormat="1" applyFont="1" applyBorder="1" applyAlignment="1" applyProtection="1">
      <alignment horizontal="left" vertical="center" shrinkToFit="1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179" fontId="21" fillId="0" borderId="1" xfId="0" applyNumberFormat="1" applyFont="1" applyFill="1" applyBorder="1" applyAlignment="1" applyProtection="1">
      <alignment horizontal="left" vertical="center" shrinkToFit="1"/>
      <protection locked="0"/>
    </xf>
    <xf numFmtId="0" fontId="28" fillId="7" borderId="1" xfId="0" applyFont="1" applyFill="1" applyBorder="1" applyAlignment="1" applyProtection="1">
      <alignment horizontal="center" vertical="center"/>
    </xf>
    <xf numFmtId="49" fontId="21" fillId="0" borderId="1" xfId="0" applyNumberFormat="1" applyFont="1" applyBorder="1" applyAlignment="1" applyProtection="1">
      <alignment horizontal="left" vertical="center" shrinkToFit="1"/>
      <protection locked="0"/>
    </xf>
    <xf numFmtId="9" fontId="26" fillId="6" borderId="1" xfId="0" applyNumberFormat="1" applyFont="1" applyFill="1" applyBorder="1" applyAlignment="1" applyProtection="1">
      <alignment horizontal="center" vertical="center"/>
    </xf>
    <xf numFmtId="9" fontId="27" fillId="7" borderId="1" xfId="0" applyNumberFormat="1" applyFont="1" applyFill="1" applyBorder="1" applyAlignment="1" applyProtection="1">
      <alignment horizontal="center" vertical="center"/>
    </xf>
    <xf numFmtId="0" fontId="23" fillId="0" borderId="1" xfId="0" applyFont="1" applyFill="1" applyBorder="1" applyAlignment="1" applyProtection="1">
      <alignment horizontal="left" vertical="center" shrinkToFit="1"/>
      <protection locked="0"/>
    </xf>
  </cellXfs>
  <cellStyles count="1">
    <cellStyle name="常规" xfId="0" builtinId="0"/>
  </cellStyles>
  <dxfs count="108">
    <dxf>
      <font>
        <color auto="1"/>
      </font>
    </dxf>
    <dxf>
      <font>
        <color rgb="FF00B050"/>
      </font>
    </dxf>
    <dxf>
      <font>
        <color rgb="FF7030A0"/>
      </font>
    </dxf>
    <dxf>
      <font>
        <color rgb="FFDCDC00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color rgb="FF00800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</dxf>
    <dxf>
      <fill>
        <patternFill patternType="solid">
          <fgColor indexed="64"/>
          <bgColor indexed="43"/>
        </patternFill>
      </fill>
    </dxf>
    <dxf>
      <font>
        <b/>
        <i val="0"/>
        <condense val="0"/>
        <extend val="0"/>
        <color indexed="10"/>
      </font>
      <fill>
        <patternFill patternType="solid">
          <fgColor indexed="64"/>
          <bgColor indexed="43"/>
        </patternFill>
      </fill>
    </dxf>
    <dxf>
      <font>
        <b/>
        <i val="0"/>
        <condense val="0"/>
        <extend val="0"/>
        <color indexed="17"/>
      </font>
      <fill>
        <patternFill patternType="solid">
          <fgColor indexed="64"/>
          <bgColor indexed="43"/>
        </patternFill>
      </fill>
    </dxf>
    <dxf>
      <font>
        <color auto="1"/>
      </font>
    </dxf>
    <dxf>
      <font>
        <color rgb="FF00B050"/>
      </font>
    </dxf>
    <dxf>
      <font>
        <color rgb="FF7030A0"/>
      </font>
    </dxf>
    <dxf>
      <font>
        <color rgb="FFDCDC00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color rgb="FF00800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</dxf>
    <dxf>
      <fill>
        <patternFill patternType="solid">
          <fgColor indexed="64"/>
          <bgColor indexed="43"/>
        </patternFill>
      </fill>
    </dxf>
    <dxf>
      <font>
        <b/>
        <i val="0"/>
        <condense val="0"/>
        <extend val="0"/>
        <color indexed="10"/>
      </font>
      <fill>
        <patternFill patternType="solid">
          <fgColor indexed="64"/>
          <bgColor indexed="43"/>
        </patternFill>
      </fill>
    </dxf>
    <dxf>
      <font>
        <b/>
        <i val="0"/>
        <condense val="0"/>
        <extend val="0"/>
        <color indexed="17"/>
      </font>
      <fill>
        <patternFill patternType="solid">
          <fgColor indexed="64"/>
          <bgColor indexed="43"/>
        </patternFill>
      </fill>
    </dxf>
    <dxf>
      <font>
        <b/>
        <i/>
        <condense val="0"/>
        <extend val="0"/>
        <color indexed="8"/>
      </font>
    </dxf>
    <dxf>
      <font>
        <b/>
        <i/>
        <condense val="0"/>
        <extend val="0"/>
        <color indexed="10"/>
      </font>
    </dxf>
    <dxf>
      <font>
        <color auto="1"/>
      </font>
    </dxf>
    <dxf>
      <font>
        <color rgb="FF00B050"/>
      </font>
    </dxf>
    <dxf>
      <font>
        <color rgb="FF7030A0"/>
      </font>
    </dxf>
    <dxf>
      <font>
        <color rgb="FFDCDC00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color rgb="FF00800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</dxf>
    <dxf>
      <fill>
        <patternFill patternType="solid">
          <fgColor indexed="64"/>
          <bgColor indexed="43"/>
        </patternFill>
      </fill>
    </dxf>
    <dxf>
      <font>
        <b/>
        <i val="0"/>
        <condense val="0"/>
        <extend val="0"/>
        <color indexed="10"/>
      </font>
      <fill>
        <patternFill patternType="solid">
          <fgColor indexed="64"/>
          <bgColor indexed="43"/>
        </patternFill>
      </fill>
    </dxf>
    <dxf>
      <font>
        <b/>
        <i val="0"/>
        <condense val="0"/>
        <extend val="0"/>
        <color indexed="17"/>
      </font>
      <fill>
        <patternFill patternType="solid">
          <fgColor indexed="64"/>
          <bgColor indexed="43"/>
        </patternFill>
      </fill>
    </dxf>
    <dxf>
      <font>
        <b/>
        <i val="0"/>
        <strike val="0"/>
        <condense val="0"/>
        <extend val="0"/>
        <outline val="0"/>
        <shadow val="0"/>
        <color rgb="FF00800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</dxf>
    <dxf>
      <fill>
        <patternFill patternType="solid">
          <fgColor indexed="64"/>
          <bgColor indexed="43"/>
        </patternFill>
      </fill>
    </dxf>
    <dxf>
      <font>
        <b/>
        <i val="0"/>
        <condense val="0"/>
        <extend val="0"/>
        <color indexed="10"/>
      </font>
      <fill>
        <patternFill patternType="solid">
          <fgColor indexed="64"/>
          <bgColor indexed="43"/>
        </patternFill>
      </fill>
    </dxf>
    <dxf>
      <font>
        <b/>
        <i val="0"/>
        <condense val="0"/>
        <extend val="0"/>
        <color indexed="17"/>
      </font>
      <fill>
        <patternFill patternType="solid">
          <fgColor indexed="64"/>
          <bgColor indexed="43"/>
        </patternFill>
      </fill>
    </dxf>
    <dxf>
      <font>
        <b/>
        <i/>
        <condense val="0"/>
        <extend val="0"/>
        <color indexed="8"/>
      </font>
    </dxf>
    <dxf>
      <font>
        <b/>
        <i/>
        <condense val="0"/>
        <extend val="0"/>
        <color indexed="10"/>
      </font>
    </dxf>
    <dxf>
      <font>
        <b/>
        <i val="0"/>
        <strike val="0"/>
        <condense val="0"/>
        <extend val="0"/>
        <outline val="0"/>
        <shadow val="0"/>
        <color rgb="FF00800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</dxf>
    <dxf>
      <font>
        <b/>
        <i val="0"/>
        <strike val="0"/>
        <condense val="0"/>
        <extend val="0"/>
        <outline val="0"/>
        <shadow val="0"/>
        <color rgb="FF00800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</dxf>
    <dxf>
      <font>
        <b/>
        <i val="0"/>
        <strike val="0"/>
        <condense val="0"/>
        <extend val="0"/>
        <outline val="0"/>
        <shadow val="0"/>
        <color rgb="FF00800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</dxf>
    <dxf>
      <font>
        <b/>
        <i val="0"/>
        <strike val="0"/>
        <condense val="0"/>
        <extend val="0"/>
        <outline val="0"/>
        <shadow val="0"/>
        <color rgb="FF00800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</dxf>
    <dxf>
      <font>
        <b/>
        <i val="0"/>
        <strike val="0"/>
        <condense val="0"/>
        <extend val="0"/>
        <outline val="0"/>
        <shadow val="0"/>
        <color rgb="FF00800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</dxf>
    <dxf>
      <font>
        <b/>
        <i val="0"/>
        <strike val="0"/>
        <condense val="0"/>
        <extend val="0"/>
        <outline val="0"/>
        <shadow val="0"/>
        <color rgb="FF00800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</dxf>
    <dxf>
      <font>
        <b/>
        <i val="0"/>
        <strike val="0"/>
        <condense val="0"/>
        <extend val="0"/>
        <outline val="0"/>
        <shadow val="0"/>
        <color rgb="FF00800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</dxf>
    <dxf>
      <font>
        <b/>
        <i val="0"/>
        <strike val="0"/>
        <condense val="0"/>
        <extend val="0"/>
        <outline val="0"/>
        <shadow val="0"/>
        <color rgb="FF00800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</dxf>
    <dxf>
      <fill>
        <patternFill patternType="solid">
          <fgColor indexed="64"/>
          <bgColor indexed="43"/>
        </patternFill>
      </fill>
    </dxf>
    <dxf>
      <font>
        <b/>
        <i val="0"/>
        <condense val="0"/>
        <extend val="0"/>
        <color indexed="10"/>
      </font>
      <fill>
        <patternFill patternType="solid">
          <fgColor indexed="64"/>
          <bgColor indexed="43"/>
        </patternFill>
      </fill>
    </dxf>
    <dxf>
      <font>
        <b/>
        <i val="0"/>
        <condense val="0"/>
        <extend val="0"/>
        <color indexed="17"/>
      </font>
      <fill>
        <patternFill patternType="solid">
          <fgColor indexed="64"/>
          <bgColor indexed="43"/>
        </patternFill>
      </fill>
    </dxf>
    <dxf>
      <font>
        <b/>
        <i val="0"/>
        <strike val="0"/>
        <condense val="0"/>
        <extend val="0"/>
        <outline val="0"/>
        <shadow val="0"/>
        <color rgb="FF00800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/>
        <condense val="0"/>
        <extend val="0"/>
        <color indexed="8"/>
      </font>
    </dxf>
    <dxf>
      <font>
        <b/>
        <i/>
        <condense val="0"/>
        <extend val="0"/>
        <color indexed="10"/>
      </font>
    </dxf>
    <dxf>
      <font>
        <b/>
        <i val="0"/>
        <strike val="0"/>
        <condense val="0"/>
        <extend val="0"/>
        <outline val="0"/>
        <shadow val="0"/>
        <color rgb="FF00B05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</dxf>
    <dxf>
      <font>
        <b/>
        <i val="0"/>
        <strike val="0"/>
        <condense val="0"/>
        <extend val="0"/>
        <outline val="0"/>
        <shadow val="0"/>
        <color rgb="FF008000"/>
      </font>
    </dxf>
    <dxf>
      <font>
        <b/>
        <i val="0"/>
        <strike val="0"/>
        <condense val="0"/>
        <extend val="0"/>
        <outline val="0"/>
        <shadow val="0"/>
        <color rgb="FFFF0000"/>
      </font>
    </dxf>
    <dxf>
      <font>
        <b/>
        <i val="0"/>
        <condense val="0"/>
        <extend val="0"/>
        <color indexed="17"/>
      </font>
      <fill>
        <patternFill patternType="solid">
          <fgColor indexed="64"/>
          <bgColor indexed="43"/>
        </patternFill>
      </fill>
    </dxf>
    <dxf>
      <font>
        <b/>
        <i val="0"/>
        <condense val="0"/>
        <extend val="0"/>
        <color indexed="14"/>
      </font>
      <fill>
        <patternFill patternType="solid">
          <fgColor indexed="64"/>
          <bgColor indexed="43"/>
        </patternFill>
      </fill>
    </dxf>
    <dxf>
      <font>
        <b/>
        <i val="0"/>
        <condense val="0"/>
        <extend val="0"/>
        <color indexed="10"/>
      </font>
      <fill>
        <patternFill patternType="solid">
          <fgColor indexed="64"/>
          <bgColor indexed="43"/>
        </patternFill>
      </fill>
    </dxf>
  </dxfs>
  <tableStyles count="0" defaultTableStyle="TableStyleMedium2" defaultPivotStyle="PivotStyleLight16"/>
  <colors>
    <mruColors>
      <color rgb="FFE6E600"/>
      <color rgb="FF8E8E4E"/>
      <color rgb="FFDCDC00"/>
      <color rgb="FFF0F000"/>
      <color rgb="FFFFFF00"/>
      <color rgb="FF0000CC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149126138635"/>
          <c:y val="0.100758843697697"/>
          <c:w val="0.79122494304843505"/>
          <c:h val="0.4720625274207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</c:spPr>
          <c:invertIfNegative val="0"/>
          <c:cat>
            <c:strLit>
              <c:ptCount val="6"/>
              <c:pt idx="0">
                <c:v>修模改善</c:v>
              </c:pt>
              <c:pt idx="1">
                <c:v>调机改善</c:v>
              </c:pt>
              <c:pt idx="2">
                <c:v>工艺变更</c:v>
              </c:pt>
              <c:pt idx="3">
                <c:v>复测尺寸</c:v>
              </c:pt>
              <c:pt idx="4">
                <c:v>量测变更</c:v>
              </c:pt>
              <c:pt idx="5">
                <c:v>挂起待定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A68-4294-94E1-7D6796791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596736"/>
        <c:axId val="244599040"/>
      </c:barChart>
      <c:catAx>
        <c:axId val="24459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244599040"/>
        <c:crosses val="autoZero"/>
        <c:auto val="1"/>
        <c:lblAlgn val="ctr"/>
        <c:lblOffset val="100"/>
        <c:noMultiLvlLbl val="0"/>
      </c:catAx>
      <c:valAx>
        <c:axId val="244599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244596736"/>
        <c:crosses val="autoZero"/>
        <c:crossBetween val="between"/>
      </c:valAx>
      <c:spPr>
        <a:gradFill>
          <a:gsLst>
            <a:gs pos="0">
              <a:srgbClr val="4F81BD">
                <a:tint val="66000"/>
                <a:satMod val="160000"/>
              </a:srgbClr>
            </a:gs>
            <a:gs pos="50000">
              <a:srgbClr val="4F81BD">
                <a:tint val="44500"/>
                <a:satMod val="160000"/>
              </a:srgbClr>
            </a:gs>
            <a:gs pos="100000">
              <a:srgbClr val="4F81BD">
                <a:tint val="23500"/>
                <a:satMod val="160000"/>
              </a:srgbClr>
            </a:gs>
          </a:gsLst>
          <a:lin ang="5400000" scaled="0"/>
        </a:gradFill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00B0F0"/>
    </a:solidFill>
    <a:ln w="9525" cap="flat" cmpd="sng" algn="ctr">
      <a:solidFill>
        <a:schemeClr val="tx1"/>
      </a:solidFill>
      <a:prstDash val="solid"/>
      <a:round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109</xdr:col>
      <xdr:colOff>314325</xdr:colOff>
      <xdr:row>0</xdr:row>
      <xdr:rowOff>0</xdr:rowOff>
    </xdr:from>
    <xdr:to>
      <xdr:col>115</xdr:col>
      <xdr:colOff>12975</xdr:colOff>
      <xdr:row>1</xdr:row>
      <xdr:rowOff>428625</xdr:rowOff>
    </xdr:to>
    <xdr:sp macro="" textlink="">
      <xdr:nvSpPr>
        <xdr:cNvPr id="14" name="矩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8543925" y="0"/>
          <a:ext cx="2880000" cy="628650"/>
        </a:xfrm>
        <a:prstGeom prst="rect">
          <a:avLst/>
        </a:prstGeom>
        <a:solidFill>
          <a:schemeClr val="bg1">
            <a:lumMod val="75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523875</xdr:colOff>
      <xdr:row>0</xdr:row>
      <xdr:rowOff>123825</xdr:rowOff>
    </xdr:from>
    <xdr:to>
      <xdr:col>4</xdr:col>
      <xdr:colOff>447675</xdr:colOff>
      <xdr:row>2</xdr:row>
      <xdr:rowOff>9525</xdr:rowOff>
    </xdr:to>
    <xdr:pic macro="[0]!helpAll">
      <xdr:nvPicPr>
        <xdr:cNvPr id="2" name="图片 17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5450" y="123825"/>
          <a:ext cx="466725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</xdr:col>
      <xdr:colOff>447675</xdr:colOff>
      <xdr:row>0</xdr:row>
      <xdr:rowOff>123825</xdr:rowOff>
    </xdr:from>
    <xdr:to>
      <xdr:col>5</xdr:col>
      <xdr:colOff>381000</xdr:colOff>
      <xdr:row>2</xdr:row>
      <xdr:rowOff>9525</xdr:rowOff>
    </xdr:to>
    <xdr:pic macro="[0]!pswdAll">
      <xdr:nvPicPr>
        <xdr:cNvPr id="3" name="图片 18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2175" y="123825"/>
          <a:ext cx="476250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5</xdr:col>
      <xdr:colOff>381000</xdr:colOff>
      <xdr:row>0</xdr:row>
      <xdr:rowOff>123825</xdr:rowOff>
    </xdr:from>
    <xdr:to>
      <xdr:col>6</xdr:col>
      <xdr:colOff>304800</xdr:colOff>
      <xdr:row>2</xdr:row>
      <xdr:rowOff>9525</xdr:rowOff>
    </xdr:to>
    <xdr:pic macro="[0]!prtAll">
      <xdr:nvPicPr>
        <xdr:cNvPr id="4" name="图片 20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5" y="123825"/>
          <a:ext cx="466725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117</xdr:col>
      <xdr:colOff>76200</xdr:colOff>
      <xdr:row>0</xdr:row>
      <xdr:rowOff>123825</xdr:rowOff>
    </xdr:from>
    <xdr:to>
      <xdr:col>118</xdr:col>
      <xdr:colOff>0</xdr:colOff>
      <xdr:row>2</xdr:row>
      <xdr:rowOff>9525</xdr:rowOff>
    </xdr:to>
    <xdr:pic macro="[0]!KK">
      <xdr:nvPicPr>
        <xdr:cNvPr id="5" name="图片 19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15625" y="123825"/>
          <a:ext cx="466725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118</xdr:col>
      <xdr:colOff>0</xdr:colOff>
      <xdr:row>0</xdr:row>
      <xdr:rowOff>123825</xdr:rowOff>
    </xdr:from>
    <xdr:to>
      <xdr:col>118</xdr:col>
      <xdr:colOff>466725</xdr:colOff>
      <xdr:row>2</xdr:row>
      <xdr:rowOff>9525</xdr:rowOff>
    </xdr:to>
    <xdr:pic macro="[0]!GG">
      <xdr:nvPicPr>
        <xdr:cNvPr id="6" name="图片 21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2350" y="123825"/>
          <a:ext cx="0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115</xdr:col>
      <xdr:colOff>152400</xdr:colOff>
      <xdr:row>0</xdr:row>
      <xdr:rowOff>123825</xdr:rowOff>
    </xdr:from>
    <xdr:to>
      <xdr:col>116</xdr:col>
      <xdr:colOff>152400</xdr:colOff>
      <xdr:row>2</xdr:row>
      <xdr:rowOff>9525</xdr:rowOff>
    </xdr:to>
    <xdr:pic macro="[0]!afrAll">
      <xdr:nvPicPr>
        <xdr:cNvPr id="7" name="图片 23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123825"/>
          <a:ext cx="466725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116</xdr:col>
      <xdr:colOff>152400</xdr:colOff>
      <xdr:row>0</xdr:row>
      <xdr:rowOff>123825</xdr:rowOff>
    </xdr:from>
    <xdr:to>
      <xdr:col>117</xdr:col>
      <xdr:colOff>77475</xdr:colOff>
      <xdr:row>2</xdr:row>
      <xdr:rowOff>9525</xdr:rowOff>
    </xdr:to>
    <xdr:pic macro="[0]!dopAll">
      <xdr:nvPicPr>
        <xdr:cNvPr id="8" name="图片 24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4225" y="123825"/>
          <a:ext cx="468000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119</xdr:col>
      <xdr:colOff>0</xdr:colOff>
      <xdr:row>0</xdr:row>
      <xdr:rowOff>9525</xdr:rowOff>
    </xdr:from>
    <xdr:to>
      <xdr:col>120</xdr:col>
      <xdr:colOff>638175</xdr:colOff>
      <xdr:row>1</xdr:row>
      <xdr:rowOff>428625</xdr:rowOff>
    </xdr:to>
    <xdr:graphicFrame macro="">
      <xdr:nvGraphicFramePr>
        <xdr:cNvPr id="9" name="图表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111</xdr:col>
          <xdr:colOff>9525</xdr:colOff>
          <xdr:row>11</xdr:row>
          <xdr:rowOff>9525</xdr:rowOff>
        </xdr:from>
        <xdr:to>
          <xdr:col>112</xdr:col>
          <xdr:colOff>19050</xdr:colOff>
          <xdr:row>12</xdr:row>
          <xdr:rowOff>0</xdr:rowOff>
        </xdr:to>
        <xdr:sp macro="" textlink="">
          <xdr:nvSpPr>
            <xdr:cNvPr id="1025" name="Option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</xdr:col>
          <xdr:colOff>38100</xdr:colOff>
          <xdr:row>11</xdr:row>
          <xdr:rowOff>9525</xdr:rowOff>
        </xdr:from>
        <xdr:to>
          <xdr:col>113</xdr:col>
          <xdr:colOff>0</xdr:colOff>
          <xdr:row>12</xdr:row>
          <xdr:rowOff>0</xdr:rowOff>
        </xdr:to>
        <xdr:sp macro="" textlink="">
          <xdr:nvSpPr>
            <xdr:cNvPr id="1026" name="Option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0</xdr:col>
      <xdr:colOff>0</xdr:colOff>
      <xdr:row>12</xdr:row>
      <xdr:rowOff>19050</xdr:rowOff>
    </xdr:from>
    <xdr:to>
      <xdr:col>0</xdr:col>
      <xdr:colOff>142875</xdr:colOff>
      <xdr:row>12</xdr:row>
      <xdr:rowOff>161925</xdr:rowOff>
    </xdr:to>
    <xdr:sp macro="[0]!YCZH" textlink="">
      <xdr:nvSpPr>
        <xdr:cNvPr id="13" name="加号 1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0" y="2419350"/>
          <a:ext cx="142875" cy="142875"/>
        </a:xfrm>
        <a:custGeom>
          <a:avLst/>
          <a:gdLst>
            <a:gd name="T0" fmla="*/ 19022 w 143510"/>
            <a:gd name="T1" fmla="*/ 54878 h 143510"/>
            <a:gd name="T2" fmla="*/ 54878 w 143510"/>
            <a:gd name="T3" fmla="*/ 54878 h 143510"/>
            <a:gd name="T4" fmla="*/ 54878 w 143510"/>
            <a:gd name="T5" fmla="*/ 19022 h 143510"/>
            <a:gd name="T6" fmla="*/ 88631 w 143510"/>
            <a:gd name="T7" fmla="*/ 19022 h 143510"/>
            <a:gd name="T8" fmla="*/ 88631 w 143510"/>
            <a:gd name="T9" fmla="*/ 54878 h 143510"/>
            <a:gd name="T10" fmla="*/ 124487 w 143510"/>
            <a:gd name="T11" fmla="*/ 54878 h 143510"/>
            <a:gd name="T12" fmla="*/ 124487 w 143510"/>
            <a:gd name="T13" fmla="*/ 88631 h 143510"/>
            <a:gd name="T14" fmla="*/ 88631 w 143510"/>
            <a:gd name="T15" fmla="*/ 88631 h 143510"/>
            <a:gd name="T16" fmla="*/ 88631 w 143510"/>
            <a:gd name="T17" fmla="*/ 124487 h 143510"/>
            <a:gd name="T18" fmla="*/ 54878 w 143510"/>
            <a:gd name="T19" fmla="*/ 124487 h 143510"/>
            <a:gd name="T20" fmla="*/ 54878 w 143510"/>
            <a:gd name="T21" fmla="*/ 88631 h 143510"/>
            <a:gd name="T22" fmla="*/ 19022 w 143510"/>
            <a:gd name="T23" fmla="*/ 88631 h 14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</a:cxnLst>
          <a:rect l="0" t="0" r="r" b="b"/>
          <a:pathLst>
            <a:path w="143510" h="143510">
              <a:moveTo>
                <a:pt x="19022" y="54878"/>
              </a:moveTo>
              <a:lnTo>
                <a:pt x="54878" y="54878"/>
              </a:lnTo>
              <a:lnTo>
                <a:pt x="54878" y="19022"/>
              </a:lnTo>
              <a:lnTo>
                <a:pt x="88631" y="19022"/>
              </a:lnTo>
              <a:lnTo>
                <a:pt x="88631" y="54878"/>
              </a:lnTo>
              <a:lnTo>
                <a:pt x="124487" y="54878"/>
              </a:lnTo>
              <a:lnTo>
                <a:pt x="124487" y="88631"/>
              </a:lnTo>
              <a:lnTo>
                <a:pt x="88631" y="88631"/>
              </a:lnTo>
              <a:lnTo>
                <a:pt x="88631" y="124487"/>
              </a:lnTo>
              <a:lnTo>
                <a:pt x="54878" y="124487"/>
              </a:lnTo>
              <a:lnTo>
                <a:pt x="54878" y="88631"/>
              </a:lnTo>
              <a:lnTo>
                <a:pt x="19022" y="88631"/>
              </a:lnTo>
              <a:close/>
            </a:path>
          </a:pathLst>
        </a:custGeom>
        <a:solidFill>
          <a:srgbClr val="FFFFFF"/>
        </a:solidFill>
        <a:ln w="22225">
          <a:solidFill>
            <a:srgbClr val="000000"/>
          </a:solidFill>
          <a:round/>
          <a:headEnd/>
          <a:tailEnd/>
        </a:ln>
      </xdr:spPr>
    </xdr:sp>
    <xdr:clientData fPrintsWithSheet="0"/>
  </xdr:twoCellAnchor>
  <xdr:twoCellAnchor>
    <xdr:from>
      <xdr:col>8</xdr:col>
      <xdr:colOff>400050</xdr:colOff>
      <xdr:row>11</xdr:row>
      <xdr:rowOff>0</xdr:rowOff>
    </xdr:from>
    <xdr:to>
      <xdr:col>8</xdr:col>
      <xdr:colOff>543127</xdr:colOff>
      <xdr:row>13</xdr:row>
      <xdr:rowOff>210765</xdr:rowOff>
    </xdr:to>
    <xdr:grpSp>
      <xdr:nvGrpSpPr>
        <xdr:cNvPr id="10" name="组合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05350" y="2190750"/>
          <a:ext cx="143077" cy="629865"/>
          <a:chOff x="4291114" y="2192777"/>
          <a:chExt cx="143077" cy="63229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Label 2091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4291114" y="2211827"/>
                <a:ext cx="143077" cy="180975"/>
              </a:xfrm>
              <a:prstGeom prst="rect">
                <a:avLst/>
              </a:prstGeom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机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Label 2103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4291114" y="2422593"/>
                <a:ext cx="143077" cy="180975"/>
              </a:xfrm>
              <a:prstGeom prst="rect">
                <a:avLst/>
              </a:prstGeom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模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0" name="Label 2104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4291114" y="2633359"/>
                <a:ext cx="143077" cy="180975"/>
              </a:xfrm>
              <a:prstGeom prst="rect">
                <a:avLst/>
              </a:prstGeom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穴</a:t>
                </a:r>
              </a:p>
            </xdr:txBody>
          </xdr:sp>
        </mc:Choice>
        <mc:Fallback/>
      </mc:AlternateContent>
      <xdr:cxnSp macro="">
        <xdr:nvCxnSpPr>
          <xdr:cNvPr id="17" name="直接连接符 3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306111" y="2192777"/>
            <a:ext cx="0" cy="632297"/>
          </a:xfrm>
          <a:prstGeom prst="line">
            <a:avLst/>
          </a:prstGeom>
          <a:noFill/>
          <a:ln w="3175">
            <a:solidFill>
              <a:srgbClr val="7F7F7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oneCellAnchor>
    <xdr:from>
      <xdr:col>6</xdr:col>
      <xdr:colOff>480465</xdr:colOff>
      <xdr:row>9</xdr:row>
      <xdr:rowOff>198606</xdr:rowOff>
    </xdr:from>
    <xdr:ext cx="992579" cy="242374"/>
    <xdr:sp macro="" textlink="">
      <xdr:nvSpPr>
        <xdr:cNvPr id="18" name="TextBox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3280815" y="1970256"/>
          <a:ext cx="992579" cy="242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900">
              <a:latin typeface="+mn-ea"/>
              <a:ea typeface="+mn-ea"/>
            </a:rPr>
            <a:t>6.</a:t>
          </a:r>
          <a:r>
            <a:rPr lang="zh-CN" altLang="en-US" sz="900">
              <a:latin typeface="+mn-ea"/>
              <a:ea typeface="+mn-ea"/>
            </a:rPr>
            <a:t>单个样品判定</a:t>
          </a:r>
        </a:p>
      </xdr:txBody>
    </xdr:sp>
    <xdr:clientData/>
  </xdr:oneCellAnchor>
  <xdr:twoCellAnchor>
    <xdr:from>
      <xdr:col>0</xdr:col>
      <xdr:colOff>38100</xdr:colOff>
      <xdr:row>0</xdr:row>
      <xdr:rowOff>152791</xdr:rowOff>
    </xdr:from>
    <xdr:to>
      <xdr:col>3</xdr:col>
      <xdr:colOff>504825</xdr:colOff>
      <xdr:row>1</xdr:row>
      <xdr:rowOff>428234</xdr:rowOff>
    </xdr:to>
    <xdr:pic>
      <xdr:nvPicPr>
        <xdr:cNvPr id="19" name="Picture 2740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8100" y="152791"/>
          <a:ext cx="1638300" cy="4754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57150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109</xdr:col>
      <xdr:colOff>346187</xdr:colOff>
      <xdr:row>0</xdr:row>
      <xdr:rowOff>0</xdr:rowOff>
    </xdr:from>
    <xdr:to>
      <xdr:col>114</xdr:col>
      <xdr:colOff>390885</xdr:colOff>
      <xdr:row>2</xdr:row>
      <xdr:rowOff>21565</xdr:rowOff>
    </xdr:to>
    <xdr:grpSp>
      <xdr:nvGrpSpPr>
        <xdr:cNvPr id="11" name="组合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4967062" y="0"/>
          <a:ext cx="2759323" cy="669265"/>
          <a:chOff x="8570036" y="0"/>
          <a:chExt cx="2758424" cy="672140"/>
        </a:xfrm>
      </xdr:grpSpPr>
      <xdr:cxnSp macro="">
        <xdr:nvCxnSpPr>
          <xdr:cNvPr id="12" name="直接连接符 11">
            <a:extLst>
              <a:ext uri="{FF2B5EF4-FFF2-40B4-BE49-F238E27FC236}">
                <a16:creationId xmlns="" xmlns:a16="http://schemas.microsoft.com/office/drawing/2014/main" id="{00000000-0008-0000-0000-00000C000000}"/>
              </a:ext>
            </a:extLst>
          </xdr:cNvPr>
          <xdr:cNvCxnSpPr/>
        </xdr:nvCxnSpPr>
        <xdr:spPr>
          <a:xfrm>
            <a:off x="8862847" y="52583"/>
            <a:ext cx="360000" cy="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接连接符 22">
            <a:extLst>
              <a:ext uri="{FF2B5EF4-FFF2-40B4-BE49-F238E27FC236}">
                <a16:creationId xmlns=""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8858335" y="597704"/>
            <a:ext cx="360000" cy="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直接连接符 25">
            <a:extLst>
              <a:ext uri="{FF2B5EF4-FFF2-40B4-BE49-F238E27FC236}">
                <a16:creationId xmlns="" xmlns:a16="http://schemas.microsoft.com/office/drawing/2014/main" id="{00000000-0008-0000-0000-00001A000000}"/>
              </a:ext>
            </a:extLst>
          </xdr:cNvPr>
          <xdr:cNvCxnSpPr/>
        </xdr:nvCxnSpPr>
        <xdr:spPr>
          <a:xfrm>
            <a:off x="8863348" y="557598"/>
            <a:ext cx="360000" cy="0"/>
          </a:xfrm>
          <a:prstGeom prst="line">
            <a:avLst/>
          </a:prstGeom>
          <a:ln>
            <a:solidFill>
              <a:srgbClr val="DCDC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直接连接符 26">
            <a:extLst>
              <a:ext uri="{FF2B5EF4-FFF2-40B4-BE49-F238E27FC236}">
                <a16:creationId xmlns="" xmlns:a16="http://schemas.microsoft.com/office/drawing/2014/main" id="{00000000-0008-0000-0000-00001B000000}"/>
              </a:ext>
            </a:extLst>
          </xdr:cNvPr>
          <xdr:cNvCxnSpPr/>
        </xdr:nvCxnSpPr>
        <xdr:spPr>
          <a:xfrm>
            <a:off x="8863348" y="92689"/>
            <a:ext cx="360000" cy="0"/>
          </a:xfrm>
          <a:prstGeom prst="line">
            <a:avLst/>
          </a:prstGeom>
          <a:ln>
            <a:solidFill>
              <a:srgbClr val="DCDC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直接连接符 27">
            <a:extLst>
              <a:ext uri="{FF2B5EF4-FFF2-40B4-BE49-F238E27FC236}">
                <a16:creationId xmlns=""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8863348" y="512479"/>
            <a:ext cx="360000" cy="0"/>
          </a:xfrm>
          <a:prstGeom prst="line">
            <a:avLst/>
          </a:prstGeom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直接连接符 28">
            <a:extLst>
              <a:ext uri="{FF2B5EF4-FFF2-40B4-BE49-F238E27FC236}">
                <a16:creationId xmlns="" xmlns:a16="http://schemas.microsoft.com/office/drawing/2014/main" id="{00000000-0008-0000-0000-00001D000000}"/>
              </a:ext>
            </a:extLst>
          </xdr:cNvPr>
          <xdr:cNvCxnSpPr/>
        </xdr:nvCxnSpPr>
        <xdr:spPr>
          <a:xfrm>
            <a:off x="8863348" y="142821"/>
            <a:ext cx="360000" cy="0"/>
          </a:xfrm>
          <a:prstGeom prst="line">
            <a:avLst/>
          </a:prstGeom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接连接符 29">
            <a:extLst>
              <a:ext uri="{FF2B5EF4-FFF2-40B4-BE49-F238E27FC236}">
                <a16:creationId xmlns="" xmlns:a16="http://schemas.microsoft.com/office/drawing/2014/main" id="{00000000-0008-0000-0000-00001E000000}"/>
              </a:ext>
            </a:extLst>
          </xdr:cNvPr>
          <xdr:cNvCxnSpPr/>
        </xdr:nvCxnSpPr>
        <xdr:spPr>
          <a:xfrm>
            <a:off x="8863348" y="207714"/>
            <a:ext cx="360000" cy="0"/>
          </a:xfrm>
          <a:prstGeom prst="line">
            <a:avLst/>
          </a:prstGeom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直接连接符 30">
            <a:extLst>
              <a:ext uri="{FF2B5EF4-FFF2-40B4-BE49-F238E27FC236}">
                <a16:creationId xmlns="" xmlns:a16="http://schemas.microsoft.com/office/drawing/2014/main" id="{00000000-0008-0000-0000-00001F000000}"/>
              </a:ext>
            </a:extLst>
          </xdr:cNvPr>
          <xdr:cNvCxnSpPr/>
        </xdr:nvCxnSpPr>
        <xdr:spPr>
          <a:xfrm>
            <a:off x="8858334" y="453947"/>
            <a:ext cx="360000" cy="0"/>
          </a:xfrm>
          <a:prstGeom prst="line">
            <a:avLst/>
          </a:prstGeom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" name="右大括号 15">
            <a:extLst>
              <a:ext uri="{FF2B5EF4-FFF2-40B4-BE49-F238E27FC236}">
                <a16:creationId xmlns=""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9243057" y="207841"/>
            <a:ext cx="71618" cy="248400"/>
          </a:xfrm>
          <a:prstGeom prst="rightBrace">
            <a:avLst>
              <a:gd name="adj1" fmla="val 8332"/>
              <a:gd name="adj2" fmla="val 50000"/>
            </a:avLst>
          </a:prstGeom>
          <a:ln w="6350">
            <a:solidFill>
              <a:srgbClr val="00B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33" name="右大括号 32">
            <a:extLst>
              <a:ext uri="{FF2B5EF4-FFF2-40B4-BE49-F238E27FC236}">
                <a16:creationId xmlns=""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9464655" y="143437"/>
            <a:ext cx="72000" cy="369579"/>
          </a:xfrm>
          <a:prstGeom prst="rightBrace">
            <a:avLst>
              <a:gd name="adj1" fmla="val 8332"/>
              <a:gd name="adj2" fmla="val 49134"/>
            </a:avLst>
          </a:prstGeom>
          <a:ln w="6350"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cxnSp macro="">
        <xdr:nvCxnSpPr>
          <xdr:cNvPr id="21" name="直接连接符 20">
            <a:extLst>
              <a:ext uri="{FF2B5EF4-FFF2-40B4-BE49-F238E27FC236}">
                <a16:creationId xmlns="" xmlns:a16="http://schemas.microsoft.com/office/drawing/2014/main" id="{00000000-0008-0000-0000-000015000000}"/>
              </a:ext>
            </a:extLst>
          </xdr:cNvPr>
          <xdr:cNvCxnSpPr/>
        </xdr:nvCxnSpPr>
        <xdr:spPr>
          <a:xfrm flipH="1">
            <a:off x="9242169" y="141585"/>
            <a:ext cx="222461" cy="0"/>
          </a:xfrm>
          <a:prstGeom prst="line">
            <a:avLst/>
          </a:prstGeom>
          <a:ln w="6350">
            <a:solidFill>
              <a:srgbClr val="7030A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直接连接符 36">
            <a:extLst>
              <a:ext uri="{FF2B5EF4-FFF2-40B4-BE49-F238E27FC236}">
                <a16:creationId xmlns="" xmlns:a16="http://schemas.microsoft.com/office/drawing/2014/main" id="{00000000-0008-0000-0000-000025000000}"/>
              </a:ext>
            </a:extLst>
          </xdr:cNvPr>
          <xdr:cNvCxnSpPr/>
        </xdr:nvCxnSpPr>
        <xdr:spPr>
          <a:xfrm flipH="1">
            <a:off x="9242169" y="512466"/>
            <a:ext cx="222461" cy="0"/>
          </a:xfrm>
          <a:prstGeom prst="line">
            <a:avLst/>
          </a:prstGeom>
          <a:ln w="6350">
            <a:solidFill>
              <a:srgbClr val="7030A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TextBox 23">
            <a:extLst>
              <a:ext uri="{FF2B5EF4-FFF2-40B4-BE49-F238E27FC236}">
                <a16:creationId xmlns=""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9236480" y="222104"/>
            <a:ext cx="363433" cy="217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zh-CN" sz="800" b="1">
                <a:solidFill>
                  <a:srgbClr val="00B050"/>
                </a:solidFill>
                <a:latin typeface="Arial Narrow" panose="020B0606020202030204" pitchFamily="34" charset="0"/>
              </a:rPr>
              <a:t>65%</a:t>
            </a:r>
            <a:endParaRPr lang="zh-CN" altLang="en-US" sz="800" b="1">
              <a:solidFill>
                <a:srgbClr val="00B050"/>
              </a:solidFill>
              <a:latin typeface="Arial Narrow" panose="020B0606020202030204" pitchFamily="34" charset="0"/>
            </a:endParaRPr>
          </a:p>
        </xdr:txBody>
      </xdr:sp>
      <xdr:sp macro="" textlink="">
        <xdr:nvSpPr>
          <xdr:cNvPr id="39" name="右大括号 38">
            <a:extLst>
              <a:ext uri="{FF2B5EF4-FFF2-40B4-BE49-F238E27FC236}">
                <a16:creationId xmlns=""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9688771" y="93019"/>
            <a:ext cx="72000" cy="463179"/>
          </a:xfrm>
          <a:prstGeom prst="rightBrace">
            <a:avLst>
              <a:gd name="adj1" fmla="val 8332"/>
              <a:gd name="adj2" fmla="val 49134"/>
            </a:avLst>
          </a:prstGeom>
          <a:ln w="6350">
            <a:solidFill>
              <a:srgbClr val="DCDC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=""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9457061" y="219302"/>
            <a:ext cx="353045" cy="21005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zh-CN" sz="800" b="1">
                <a:solidFill>
                  <a:srgbClr val="7030A0"/>
                </a:solidFill>
                <a:latin typeface="Arial Narrow" panose="020B0606020202030204" pitchFamily="34" charset="0"/>
              </a:rPr>
              <a:t>80%</a:t>
            </a:r>
            <a:endParaRPr lang="zh-CN" altLang="en-US" sz="800" b="1">
              <a:solidFill>
                <a:srgbClr val="7030A0"/>
              </a:solidFill>
              <a:latin typeface="Arial Narrow" panose="020B0606020202030204" pitchFamily="34" charset="0"/>
            </a:endParaRPr>
          </a:p>
        </xdr:txBody>
      </xdr:sp>
      <xdr:cxnSp macro="">
        <xdr:nvCxnSpPr>
          <xdr:cNvPr id="41" name="直接连接符 40">
            <a:extLst>
              <a:ext uri="{FF2B5EF4-FFF2-40B4-BE49-F238E27FC236}">
                <a16:creationId xmlns="" xmlns:a16="http://schemas.microsoft.com/office/drawing/2014/main" id="{00000000-0008-0000-0000-000029000000}"/>
              </a:ext>
            </a:extLst>
          </xdr:cNvPr>
          <xdr:cNvCxnSpPr/>
        </xdr:nvCxnSpPr>
        <xdr:spPr>
          <a:xfrm flipH="1">
            <a:off x="9242169" y="91159"/>
            <a:ext cx="445661" cy="0"/>
          </a:xfrm>
          <a:prstGeom prst="line">
            <a:avLst/>
          </a:prstGeom>
          <a:ln w="6350">
            <a:solidFill>
              <a:srgbClr val="DCDC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直接连接符 41">
            <a:extLst>
              <a:ext uri="{FF2B5EF4-FFF2-40B4-BE49-F238E27FC236}">
                <a16:creationId xmlns=""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9242169" y="555781"/>
            <a:ext cx="445661" cy="0"/>
          </a:xfrm>
          <a:prstGeom prst="line">
            <a:avLst/>
          </a:prstGeom>
          <a:ln w="6350">
            <a:solidFill>
              <a:srgbClr val="DCDC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3" name="TextBox 42">
            <a:extLst>
              <a:ext uri="{FF2B5EF4-FFF2-40B4-BE49-F238E27FC236}">
                <a16:creationId xmlns=""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9681176" y="216500"/>
            <a:ext cx="353045" cy="21005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zh-CN" sz="800" b="1">
                <a:solidFill>
                  <a:srgbClr val="DCDC00"/>
                </a:solidFill>
                <a:latin typeface="Arial Narrow" panose="020B0606020202030204" pitchFamily="34" charset="0"/>
              </a:rPr>
              <a:t>90%</a:t>
            </a:r>
            <a:endParaRPr lang="zh-CN" altLang="en-US" sz="800" b="1">
              <a:solidFill>
                <a:srgbClr val="DCDC00"/>
              </a:solidFill>
              <a:latin typeface="Arial Narrow" panose="020B0606020202030204" pitchFamily="34" charset="0"/>
            </a:endParaRPr>
          </a:p>
        </xdr:txBody>
      </xdr:sp>
      <xdr:sp macro="" textlink="">
        <xdr:nvSpPr>
          <xdr:cNvPr id="44" name="右大括号 43">
            <a:extLst>
              <a:ext uri="{FF2B5EF4-FFF2-40B4-BE49-F238E27FC236}">
                <a16:creationId xmlns=""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9917752" y="53689"/>
            <a:ext cx="72000" cy="547251"/>
          </a:xfrm>
          <a:prstGeom prst="rightBrace">
            <a:avLst>
              <a:gd name="adj1" fmla="val 8332"/>
              <a:gd name="adj2" fmla="val 49134"/>
            </a:avLst>
          </a:prstGeom>
          <a:ln w="63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cxnSp macro="">
        <xdr:nvCxnSpPr>
          <xdr:cNvPr id="45" name="直接连接符 44">
            <a:extLst>
              <a:ext uri="{FF2B5EF4-FFF2-40B4-BE49-F238E27FC236}">
                <a16:creationId xmlns=""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9242169" y="54739"/>
            <a:ext cx="653721" cy="0"/>
          </a:xfrm>
          <a:prstGeom prst="line">
            <a:avLst/>
          </a:prstGeom>
          <a:ln w="6350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直接连接符 45">
            <a:extLst>
              <a:ext uri="{FF2B5EF4-FFF2-40B4-BE49-F238E27FC236}">
                <a16:creationId xmlns=""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9236566" y="597803"/>
            <a:ext cx="653721" cy="0"/>
          </a:xfrm>
          <a:prstGeom prst="line">
            <a:avLst/>
          </a:prstGeom>
          <a:ln w="6350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TextBox 46">
            <a:extLst>
              <a:ext uri="{FF2B5EF4-FFF2-40B4-BE49-F238E27FC236}">
                <a16:creationId xmlns="" xmlns:a16="http://schemas.microsoft.com/office/drawing/2014/main" id="{00000000-0008-0000-0000-00002F000000}"/>
              </a:ext>
            </a:extLst>
          </xdr:cNvPr>
          <xdr:cNvSpPr txBox="1"/>
        </xdr:nvSpPr>
        <xdr:spPr>
          <a:xfrm>
            <a:off x="9907350" y="213699"/>
            <a:ext cx="399853" cy="21005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zh-CN" sz="800" b="1">
                <a:solidFill>
                  <a:srgbClr val="FF0000"/>
                </a:solidFill>
                <a:latin typeface="Arial Narrow" panose="020B0606020202030204" pitchFamily="34" charset="0"/>
              </a:rPr>
              <a:t>100%</a:t>
            </a:r>
            <a:endParaRPr lang="zh-CN" altLang="en-US" sz="800" b="1">
              <a:solidFill>
                <a:srgbClr val="FF0000"/>
              </a:solidFill>
              <a:latin typeface="Arial Narrow" panose="020B0606020202030204" pitchFamily="34" charset="0"/>
            </a:endParaRP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=""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8570036" y="8404"/>
            <a:ext cx="349198" cy="5859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wordArtVertRtl" wrap="none" rtlCol="0" anchor="t">
            <a:spAutoFit/>
          </a:bodyPr>
          <a:lstStyle/>
          <a:p>
            <a:r>
              <a:rPr lang="zh-CN" altLang="en-US" sz="1100" b="0">
                <a:solidFill>
                  <a:sysClr val="windowText" lastClr="000000"/>
                </a:solidFill>
                <a:latin typeface="幼圆" panose="02010509060101010101" pitchFamily="49" charset="-122"/>
                <a:ea typeface="幼圆" panose="02010509060101010101" pitchFamily="49" charset="-122"/>
              </a:rPr>
              <a:t>公差带</a:t>
            </a:r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=""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10269027" y="0"/>
            <a:ext cx="1059433" cy="6721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zh-CN" altLang="en-US" sz="700" b="0">
                <a:solidFill>
                  <a:sysClr val="windowText" lastClr="000000"/>
                </a:solidFill>
                <a:latin typeface="+mn-lt"/>
                <a:ea typeface="+mn-ea"/>
              </a:rPr>
              <a:t>①实测值＜</a:t>
            </a:r>
            <a:r>
              <a:rPr lang="en-US" altLang="zh-CN" sz="700" b="0">
                <a:solidFill>
                  <a:sysClr val="windowText" lastClr="000000"/>
                </a:solidFill>
                <a:latin typeface="+mn-lt"/>
                <a:ea typeface="+mn-ea"/>
              </a:rPr>
              <a:t>65%</a:t>
            </a:r>
          </a:p>
          <a:p>
            <a:r>
              <a:rPr lang="zh-CN" altLang="zh-CN" sz="700" b="0">
                <a:solidFill>
                  <a:srgbClr val="00B050"/>
                </a:solidFill>
                <a:latin typeface="+mn-lt"/>
                <a:ea typeface="+mn-ea"/>
                <a:cs typeface="+mn-cs"/>
              </a:rPr>
              <a:t>②</a:t>
            </a:r>
            <a:r>
              <a:rPr lang="en-US" altLang="zh-CN" sz="700" b="0">
                <a:solidFill>
                  <a:srgbClr val="00B050"/>
                </a:solidFill>
                <a:latin typeface="+mn-lt"/>
                <a:ea typeface="+mn-ea"/>
                <a:cs typeface="+mn-cs"/>
              </a:rPr>
              <a:t>65%</a:t>
            </a:r>
            <a:r>
              <a:rPr lang="zh-CN" altLang="en-US" sz="700" b="0">
                <a:solidFill>
                  <a:srgbClr val="00B050"/>
                </a:solidFill>
                <a:latin typeface="+mn-lt"/>
                <a:ea typeface="+mn-ea"/>
              </a:rPr>
              <a:t>＜实测值＜</a:t>
            </a:r>
            <a:r>
              <a:rPr lang="en-US" altLang="zh-CN" sz="700" b="0">
                <a:solidFill>
                  <a:srgbClr val="00B050"/>
                </a:solidFill>
                <a:latin typeface="+mn-lt"/>
                <a:ea typeface="+mn-ea"/>
              </a:rPr>
              <a:t>80%</a:t>
            </a:r>
          </a:p>
          <a:p>
            <a:r>
              <a:rPr lang="en-US" altLang="zh-CN" sz="700" b="0">
                <a:solidFill>
                  <a:srgbClr val="7030A0"/>
                </a:solidFill>
                <a:latin typeface="+mn-lt"/>
                <a:ea typeface="+mn-ea"/>
              </a:rPr>
              <a:t>③80%</a:t>
            </a:r>
            <a:r>
              <a:rPr lang="zh-CN" altLang="en-US" sz="700" b="0">
                <a:solidFill>
                  <a:srgbClr val="7030A0"/>
                </a:solidFill>
                <a:latin typeface="+mn-lt"/>
                <a:ea typeface="+mn-ea"/>
              </a:rPr>
              <a:t>＜实测值＜</a:t>
            </a:r>
            <a:r>
              <a:rPr lang="en-US" altLang="zh-CN" sz="700" b="0">
                <a:solidFill>
                  <a:srgbClr val="7030A0"/>
                </a:solidFill>
                <a:latin typeface="+mn-lt"/>
                <a:ea typeface="+mn-ea"/>
              </a:rPr>
              <a:t>90%</a:t>
            </a:r>
          </a:p>
          <a:p>
            <a:r>
              <a:rPr lang="en-US" altLang="zh-CN" sz="700" b="0">
                <a:solidFill>
                  <a:srgbClr val="DCDC00"/>
                </a:solidFill>
                <a:latin typeface="+mn-lt"/>
                <a:ea typeface="+mn-ea"/>
              </a:rPr>
              <a:t>④90%</a:t>
            </a:r>
            <a:r>
              <a:rPr lang="zh-CN" altLang="en-US" sz="700" b="0">
                <a:solidFill>
                  <a:srgbClr val="DCDC00"/>
                </a:solidFill>
                <a:latin typeface="+mn-lt"/>
                <a:ea typeface="+mn-ea"/>
              </a:rPr>
              <a:t>＜实测值＜</a:t>
            </a:r>
            <a:r>
              <a:rPr lang="en-US" altLang="zh-CN" sz="700" b="0">
                <a:solidFill>
                  <a:srgbClr val="DCDC00"/>
                </a:solidFill>
                <a:latin typeface="+mn-lt"/>
                <a:ea typeface="+mn-ea"/>
              </a:rPr>
              <a:t>100%</a:t>
            </a:r>
          </a:p>
          <a:p>
            <a:r>
              <a:rPr lang="en-US" altLang="zh-CN" sz="700" b="0">
                <a:solidFill>
                  <a:srgbClr val="FF0000"/>
                </a:solidFill>
                <a:latin typeface="+mn-lt"/>
                <a:ea typeface="+mn-ea"/>
              </a:rPr>
              <a:t>⑤</a:t>
            </a:r>
            <a:r>
              <a:rPr lang="zh-CN" altLang="en-US" sz="700" b="0">
                <a:solidFill>
                  <a:srgbClr val="FF0000"/>
                </a:solidFill>
                <a:latin typeface="+mn-lt"/>
                <a:ea typeface="+mn-ea"/>
              </a:rPr>
              <a:t>实测值＞</a:t>
            </a:r>
            <a:r>
              <a:rPr lang="en-US" altLang="zh-CN" sz="700" b="0">
                <a:solidFill>
                  <a:srgbClr val="FF0000"/>
                </a:solidFill>
                <a:latin typeface="+mn-lt"/>
                <a:ea typeface="+mn-ea"/>
              </a:rPr>
              <a:t>100%</a:t>
            </a:r>
          </a:p>
          <a:p>
            <a:endParaRPr lang="en-US" altLang="zh-CN" sz="700" b="0">
              <a:solidFill>
                <a:srgbClr val="FF33CC"/>
              </a:solidFill>
              <a:latin typeface="+mn-lt"/>
              <a:ea typeface="+mn-ea"/>
            </a:endParaRPr>
          </a:p>
          <a:p>
            <a:endParaRPr lang="en-US" altLang="zh-CN" sz="700" b="0">
              <a:solidFill>
                <a:srgbClr val="F0F000"/>
              </a:solidFill>
              <a:latin typeface="+mn-lt"/>
              <a:ea typeface="+mn-ea"/>
            </a:endParaRPr>
          </a:p>
          <a:p>
            <a:endParaRPr lang="en-US" altLang="zh-CN" sz="700" b="0">
              <a:solidFill>
                <a:srgbClr val="00B050"/>
              </a:solidFill>
              <a:latin typeface="+mn-lt"/>
              <a:ea typeface="+mn-ea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109</xdr:col>
          <xdr:colOff>38100</xdr:colOff>
          <xdr:row>11</xdr:row>
          <xdr:rowOff>9525</xdr:rowOff>
        </xdr:from>
        <xdr:to>
          <xdr:col>110</xdr:col>
          <xdr:colOff>523875</xdr:colOff>
          <xdr:row>12</xdr:row>
          <xdr:rowOff>0</xdr:rowOff>
        </xdr:to>
        <xdr:sp macro="" textlink="">
          <xdr:nvSpPr>
            <xdr:cNvPr id="1033" name="Check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R30"/>
  <sheetViews>
    <sheetView showGridLines="0" showRowColHeaders="0" tabSelected="1" topLeftCell="D1" zoomScaleNormal="100" workbookViewId="0">
      <selection activeCell="V22" sqref="V22"/>
    </sheetView>
  </sheetViews>
  <sheetFormatPr defaultColWidth="0" defaultRowHeight="16.5" customHeight="1"/>
  <cols>
    <col min="1" max="1" width="7.125" style="6" customWidth="1"/>
    <col min="2" max="2" width="9.625" style="6" customWidth="1"/>
    <col min="3" max="3" width="4.125" style="6" customWidth="1"/>
    <col min="4" max="27" width="7.125" style="6" customWidth="1"/>
    <col min="28" max="109" width="7.125" style="6" hidden="1" customWidth="1"/>
    <col min="110" max="110" width="7.125" style="6" customWidth="1"/>
    <col min="111" max="112" width="7.125" style="27" customWidth="1"/>
    <col min="113" max="113" width="7.125" style="28" customWidth="1"/>
    <col min="114" max="114" width="7.125" style="6" customWidth="1"/>
    <col min="115" max="116" width="6.125" style="6" customWidth="1"/>
    <col min="117" max="117" width="7.125" style="6" customWidth="1"/>
    <col min="118" max="118" width="8.125" style="6" customWidth="1"/>
    <col min="119" max="119" width="7.125" style="6" hidden="1" customWidth="1"/>
    <col min="120" max="121" width="8.625" style="6" hidden="1" customWidth="1"/>
    <col min="122" max="123" width="8.625" style="89" hidden="1" customWidth="1"/>
    <col min="124" max="124" width="8.75" style="89" hidden="1" customWidth="1"/>
    <col min="125" max="126" width="8.75" style="124" hidden="1" customWidth="1"/>
    <col min="127" max="130" width="8.75" style="89" hidden="1" customWidth="1"/>
    <col min="131" max="133" width="8.625" style="89" hidden="1" customWidth="1"/>
    <col min="134" max="134" width="9" style="89" hidden="1" customWidth="1"/>
    <col min="135" max="135" width="6.875" style="90" hidden="1" customWidth="1"/>
    <col min="136" max="136" width="0.125" style="90" customWidth="1"/>
    <col min="137" max="139" width="9" style="90" hidden="1" customWidth="1"/>
    <col min="140" max="142" width="9" style="85" hidden="1" customWidth="1"/>
    <col min="143" max="16384" width="9" style="6" hidden="1"/>
  </cols>
  <sheetData>
    <row r="1" spans="1:252" ht="15.75" customHeight="1">
      <c r="A1" s="1"/>
      <c r="B1" s="1"/>
      <c r="C1" s="1"/>
      <c r="D1" s="1"/>
      <c r="E1" s="1"/>
      <c r="F1" s="1"/>
      <c r="G1" s="1"/>
      <c r="H1" s="161" t="s">
        <v>72</v>
      </c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161"/>
      <c r="BC1" s="161"/>
      <c r="BD1" s="161"/>
      <c r="BE1" s="161"/>
      <c r="BF1" s="161"/>
      <c r="BG1" s="161"/>
      <c r="BH1" s="161"/>
      <c r="BI1" s="161"/>
      <c r="BJ1" s="161"/>
      <c r="BK1" s="161"/>
      <c r="BL1" s="161"/>
      <c r="BM1" s="161"/>
      <c r="BN1" s="161"/>
      <c r="BO1" s="161"/>
      <c r="BP1" s="161"/>
      <c r="BQ1" s="161"/>
      <c r="BR1" s="161"/>
      <c r="BS1" s="161"/>
      <c r="BT1" s="161"/>
      <c r="BU1" s="161"/>
      <c r="BV1" s="161"/>
      <c r="BW1" s="161"/>
      <c r="BX1" s="161"/>
      <c r="BY1" s="161"/>
      <c r="BZ1" s="161"/>
      <c r="CA1" s="161"/>
      <c r="CB1" s="161"/>
      <c r="CC1" s="161"/>
      <c r="CD1" s="161"/>
      <c r="CE1" s="161"/>
      <c r="CF1" s="161"/>
      <c r="CG1" s="161"/>
      <c r="CH1" s="161"/>
      <c r="CI1" s="161"/>
      <c r="CJ1" s="161"/>
      <c r="CK1" s="161"/>
      <c r="CL1" s="161"/>
      <c r="CM1" s="161"/>
      <c r="CN1" s="161"/>
      <c r="CO1" s="161"/>
      <c r="CP1" s="161"/>
      <c r="CQ1" s="161"/>
      <c r="CR1" s="161"/>
      <c r="CS1" s="161"/>
      <c r="CT1" s="161"/>
      <c r="CU1" s="161"/>
      <c r="CV1" s="161"/>
      <c r="CW1" s="161"/>
      <c r="CX1" s="161"/>
      <c r="CY1" s="161"/>
      <c r="CZ1" s="161"/>
      <c r="DA1" s="161"/>
      <c r="DB1" s="161"/>
      <c r="DC1" s="161"/>
      <c r="DD1" s="161"/>
      <c r="DE1" s="161"/>
      <c r="DF1" s="161"/>
      <c r="DG1" s="2"/>
      <c r="DH1" s="2"/>
      <c r="DI1" s="2"/>
      <c r="DJ1" s="2"/>
      <c r="DK1" s="3"/>
      <c r="DL1" s="3"/>
      <c r="DM1" s="3"/>
      <c r="DN1" s="4" t="s">
        <v>71</v>
      </c>
      <c r="DO1" s="5"/>
      <c r="DP1" s="5"/>
      <c r="DQ1" s="5"/>
      <c r="DR1" s="87"/>
      <c r="DS1" s="87"/>
      <c r="DT1" s="87"/>
      <c r="DU1" s="88"/>
      <c r="DV1" s="88"/>
      <c r="DW1" s="88"/>
      <c r="DX1" s="88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</row>
    <row r="2" spans="1:252" ht="35.25" customHeight="1">
      <c r="A2" s="8"/>
      <c r="B2" s="9"/>
      <c r="C2" s="9"/>
      <c r="D2" s="9"/>
      <c r="E2" s="9"/>
      <c r="F2" s="9"/>
      <c r="G2" s="9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  <c r="AM2" s="161"/>
      <c r="AN2" s="161"/>
      <c r="AO2" s="161"/>
      <c r="AP2" s="161"/>
      <c r="AQ2" s="161"/>
      <c r="AR2" s="161"/>
      <c r="AS2" s="161"/>
      <c r="AT2" s="161"/>
      <c r="AU2" s="161"/>
      <c r="AV2" s="161"/>
      <c r="AW2" s="161"/>
      <c r="AX2" s="161"/>
      <c r="AY2" s="161"/>
      <c r="AZ2" s="161"/>
      <c r="BA2" s="161"/>
      <c r="BB2" s="161"/>
      <c r="BC2" s="161"/>
      <c r="BD2" s="161"/>
      <c r="BE2" s="161"/>
      <c r="BF2" s="161"/>
      <c r="BG2" s="161"/>
      <c r="BH2" s="161"/>
      <c r="BI2" s="161"/>
      <c r="BJ2" s="161"/>
      <c r="BK2" s="161"/>
      <c r="BL2" s="161"/>
      <c r="BM2" s="161"/>
      <c r="BN2" s="161"/>
      <c r="BO2" s="161"/>
      <c r="BP2" s="161"/>
      <c r="BQ2" s="161"/>
      <c r="BR2" s="161"/>
      <c r="BS2" s="161"/>
      <c r="BT2" s="161"/>
      <c r="BU2" s="161"/>
      <c r="BV2" s="161"/>
      <c r="BW2" s="161"/>
      <c r="BX2" s="161"/>
      <c r="BY2" s="161"/>
      <c r="BZ2" s="161"/>
      <c r="CA2" s="161"/>
      <c r="CB2" s="161"/>
      <c r="CC2" s="161"/>
      <c r="CD2" s="161"/>
      <c r="CE2" s="161"/>
      <c r="CF2" s="161"/>
      <c r="CG2" s="161"/>
      <c r="CH2" s="161"/>
      <c r="CI2" s="161"/>
      <c r="CJ2" s="161"/>
      <c r="CK2" s="161"/>
      <c r="CL2" s="161"/>
      <c r="CM2" s="161"/>
      <c r="CN2" s="161"/>
      <c r="CO2" s="161"/>
      <c r="CP2" s="161"/>
      <c r="CQ2" s="161"/>
      <c r="CR2" s="161"/>
      <c r="CS2" s="161"/>
      <c r="CT2" s="161"/>
      <c r="CU2" s="161"/>
      <c r="CV2" s="161"/>
      <c r="CW2" s="161"/>
      <c r="CX2" s="161"/>
      <c r="CY2" s="161"/>
      <c r="CZ2" s="161"/>
      <c r="DA2" s="161"/>
      <c r="DB2" s="161"/>
      <c r="DC2" s="161"/>
      <c r="DD2" s="161"/>
      <c r="DE2" s="161"/>
      <c r="DF2" s="161"/>
      <c r="DG2" s="2"/>
      <c r="DH2" s="2"/>
      <c r="DI2" s="2"/>
      <c r="DJ2" s="2"/>
      <c r="DK2" s="9"/>
      <c r="DL2" s="10"/>
      <c r="DM2" s="10"/>
      <c r="DN2" s="10"/>
      <c r="DO2" s="11"/>
      <c r="DP2" s="11"/>
      <c r="DQ2" s="11"/>
      <c r="DR2" s="91"/>
      <c r="DS2" s="92"/>
      <c r="DT2" s="92"/>
      <c r="DU2" s="93"/>
      <c r="DV2" s="93"/>
      <c r="DW2" s="93"/>
      <c r="DX2" s="93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</row>
    <row r="3" spans="1:252" ht="3" customHeight="1">
      <c r="A3" s="12"/>
      <c r="B3" s="12"/>
      <c r="C3" s="12"/>
      <c r="D3" s="12"/>
      <c r="E3" s="12"/>
      <c r="F3" s="12"/>
      <c r="G3" s="12"/>
      <c r="H3" s="13"/>
      <c r="I3" s="13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4"/>
      <c r="DP3" s="14"/>
      <c r="DQ3" s="14"/>
      <c r="DR3" s="94"/>
      <c r="DS3" s="94"/>
      <c r="DT3" s="92"/>
      <c r="DU3" s="95"/>
      <c r="DV3" s="95"/>
      <c r="DW3" s="95"/>
      <c r="DX3" s="95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</row>
    <row r="4" spans="1:252" ht="3" customHeight="1">
      <c r="A4" s="29"/>
      <c r="B4" s="29"/>
      <c r="C4" s="29"/>
      <c r="D4" s="29"/>
      <c r="E4" s="30"/>
      <c r="F4" s="30"/>
      <c r="G4" s="30"/>
      <c r="H4" s="31"/>
      <c r="I4" s="31"/>
      <c r="J4" s="31">
        <v>1</v>
      </c>
      <c r="K4" s="31">
        <v>2</v>
      </c>
      <c r="L4" s="31">
        <v>3</v>
      </c>
      <c r="M4" s="31">
        <v>4</v>
      </c>
      <c r="N4" s="31">
        <v>5</v>
      </c>
      <c r="O4" s="31">
        <v>6</v>
      </c>
      <c r="P4" s="31">
        <v>7</v>
      </c>
      <c r="Q4" s="31">
        <v>8</v>
      </c>
      <c r="R4" s="31">
        <v>9</v>
      </c>
      <c r="S4" s="31">
        <v>10</v>
      </c>
      <c r="T4" s="31">
        <v>11</v>
      </c>
      <c r="U4" s="31">
        <v>12</v>
      </c>
      <c r="V4" s="31">
        <v>13</v>
      </c>
      <c r="W4" s="31">
        <v>14</v>
      </c>
      <c r="X4" s="31">
        <v>15</v>
      </c>
      <c r="Y4" s="31">
        <v>16</v>
      </c>
      <c r="Z4" s="31">
        <v>17</v>
      </c>
      <c r="AA4" s="31">
        <v>18</v>
      </c>
      <c r="AB4" s="31">
        <v>19</v>
      </c>
      <c r="AC4" s="31">
        <v>20</v>
      </c>
      <c r="AD4" s="31">
        <v>21</v>
      </c>
      <c r="AE4" s="31">
        <v>22</v>
      </c>
      <c r="AF4" s="31">
        <v>23</v>
      </c>
      <c r="AG4" s="31">
        <v>24</v>
      </c>
      <c r="AH4" s="31">
        <v>25</v>
      </c>
      <c r="AI4" s="31">
        <v>26</v>
      </c>
      <c r="AJ4" s="31">
        <v>27</v>
      </c>
      <c r="AK4" s="31">
        <v>28</v>
      </c>
      <c r="AL4" s="31">
        <v>29</v>
      </c>
      <c r="AM4" s="31">
        <v>30</v>
      </c>
      <c r="AN4" s="31">
        <v>31</v>
      </c>
      <c r="AO4" s="31">
        <v>32</v>
      </c>
      <c r="AP4" s="31">
        <v>33</v>
      </c>
      <c r="AQ4" s="31">
        <v>34</v>
      </c>
      <c r="AR4" s="31">
        <v>35</v>
      </c>
      <c r="AS4" s="31">
        <v>36</v>
      </c>
      <c r="AT4" s="31">
        <v>37</v>
      </c>
      <c r="AU4" s="31">
        <v>38</v>
      </c>
      <c r="AV4" s="31">
        <v>39</v>
      </c>
      <c r="AW4" s="31">
        <v>40</v>
      </c>
      <c r="AX4" s="31">
        <v>41</v>
      </c>
      <c r="AY4" s="31">
        <v>42</v>
      </c>
      <c r="AZ4" s="31">
        <v>43</v>
      </c>
      <c r="BA4" s="31">
        <v>44</v>
      </c>
      <c r="BB4" s="31">
        <v>45</v>
      </c>
      <c r="BC4" s="31">
        <v>46</v>
      </c>
      <c r="BD4" s="31">
        <v>47</v>
      </c>
      <c r="BE4" s="31">
        <v>48</v>
      </c>
      <c r="BF4" s="31">
        <v>49</v>
      </c>
      <c r="BG4" s="31">
        <v>50</v>
      </c>
      <c r="BH4" s="31">
        <v>51</v>
      </c>
      <c r="BI4" s="31">
        <v>52</v>
      </c>
      <c r="BJ4" s="31">
        <v>53</v>
      </c>
      <c r="BK4" s="31">
        <v>54</v>
      </c>
      <c r="BL4" s="31">
        <v>55</v>
      </c>
      <c r="BM4" s="31">
        <v>56</v>
      </c>
      <c r="BN4" s="31">
        <v>57</v>
      </c>
      <c r="BO4" s="31">
        <v>58</v>
      </c>
      <c r="BP4" s="31">
        <v>59</v>
      </c>
      <c r="BQ4" s="31">
        <v>60</v>
      </c>
      <c r="BR4" s="31">
        <v>61</v>
      </c>
      <c r="BS4" s="31">
        <v>62</v>
      </c>
      <c r="BT4" s="31">
        <v>63</v>
      </c>
      <c r="BU4" s="31">
        <v>64</v>
      </c>
      <c r="BV4" s="31">
        <v>65</v>
      </c>
      <c r="BW4" s="31">
        <v>66</v>
      </c>
      <c r="BX4" s="31">
        <v>67</v>
      </c>
      <c r="BY4" s="31">
        <v>68</v>
      </c>
      <c r="BZ4" s="31">
        <v>69</v>
      </c>
      <c r="CA4" s="31">
        <v>70</v>
      </c>
      <c r="CB4" s="31">
        <v>71</v>
      </c>
      <c r="CC4" s="31">
        <v>72</v>
      </c>
      <c r="CD4" s="31">
        <v>73</v>
      </c>
      <c r="CE4" s="31">
        <v>74</v>
      </c>
      <c r="CF4" s="31">
        <v>75</v>
      </c>
      <c r="CG4" s="31">
        <v>76</v>
      </c>
      <c r="CH4" s="31">
        <v>77</v>
      </c>
      <c r="CI4" s="31">
        <v>78</v>
      </c>
      <c r="CJ4" s="31">
        <v>79</v>
      </c>
      <c r="CK4" s="31">
        <v>80</v>
      </c>
      <c r="CL4" s="31">
        <v>81</v>
      </c>
      <c r="CM4" s="31">
        <v>82</v>
      </c>
      <c r="CN4" s="31">
        <v>83</v>
      </c>
      <c r="CO4" s="31">
        <v>84</v>
      </c>
      <c r="CP4" s="31">
        <v>85</v>
      </c>
      <c r="CQ4" s="31">
        <v>86</v>
      </c>
      <c r="CR4" s="31">
        <v>87</v>
      </c>
      <c r="CS4" s="31">
        <v>88</v>
      </c>
      <c r="CT4" s="31">
        <v>89</v>
      </c>
      <c r="CU4" s="31">
        <v>90</v>
      </c>
      <c r="CV4" s="31">
        <v>91</v>
      </c>
      <c r="CW4" s="31">
        <v>92</v>
      </c>
      <c r="CX4" s="31">
        <v>93</v>
      </c>
      <c r="CY4" s="31">
        <v>94</v>
      </c>
      <c r="CZ4" s="31">
        <v>95</v>
      </c>
      <c r="DA4" s="31">
        <v>96</v>
      </c>
      <c r="DB4" s="31">
        <v>97</v>
      </c>
      <c r="DC4" s="31">
        <v>98</v>
      </c>
      <c r="DD4" s="31">
        <v>99</v>
      </c>
      <c r="DE4" s="31">
        <v>100</v>
      </c>
      <c r="DF4" s="30"/>
      <c r="DG4" s="30"/>
      <c r="DH4" s="30"/>
      <c r="DI4" s="30"/>
      <c r="DJ4" s="30"/>
      <c r="DK4" s="32"/>
      <c r="DL4" s="32"/>
      <c r="DM4" s="32"/>
      <c r="DN4" s="32"/>
      <c r="DO4" s="15"/>
      <c r="DP4" s="15"/>
      <c r="DQ4" s="15"/>
      <c r="DR4" s="96"/>
      <c r="DS4" s="96"/>
      <c r="DT4" s="97"/>
      <c r="DU4" s="98"/>
      <c r="DV4" s="98"/>
      <c r="DW4" s="99"/>
      <c r="DX4" s="99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</row>
    <row r="5" spans="1:252" ht="16.5" customHeight="1">
      <c r="A5" s="33" t="s">
        <v>0</v>
      </c>
      <c r="B5" s="162" t="s">
        <v>86</v>
      </c>
      <c r="C5" s="162"/>
      <c r="D5" s="162"/>
      <c r="E5" s="33" t="s">
        <v>1</v>
      </c>
      <c r="F5" s="158" t="s">
        <v>82</v>
      </c>
      <c r="G5" s="158"/>
      <c r="H5" s="53"/>
      <c r="I5" s="163" t="s">
        <v>2</v>
      </c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4"/>
      <c r="Y5" s="164"/>
      <c r="Z5" s="164"/>
      <c r="AA5" s="164"/>
      <c r="AB5" s="164"/>
      <c r="AC5" s="164"/>
      <c r="AD5" s="164"/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  <c r="BB5" s="164"/>
      <c r="BC5" s="164"/>
      <c r="BD5" s="164"/>
      <c r="BE5" s="164"/>
      <c r="BF5" s="164"/>
      <c r="BG5" s="164"/>
      <c r="BH5" s="164"/>
      <c r="BI5" s="164"/>
      <c r="BJ5" s="164"/>
      <c r="BK5" s="164"/>
      <c r="BL5" s="164"/>
      <c r="BM5" s="164"/>
      <c r="BN5" s="164"/>
      <c r="BO5" s="164"/>
      <c r="BP5" s="164"/>
      <c r="BQ5" s="164"/>
      <c r="BR5" s="164"/>
      <c r="BS5" s="164"/>
      <c r="BT5" s="164"/>
      <c r="BU5" s="164"/>
      <c r="BV5" s="164"/>
      <c r="BW5" s="164"/>
      <c r="BX5" s="164"/>
      <c r="BY5" s="164"/>
      <c r="BZ5" s="164"/>
      <c r="CA5" s="164"/>
      <c r="CB5" s="164"/>
      <c r="CC5" s="164"/>
      <c r="CD5" s="164"/>
      <c r="CE5" s="164"/>
      <c r="CF5" s="164"/>
      <c r="CG5" s="164"/>
      <c r="CH5" s="164"/>
      <c r="CI5" s="164"/>
      <c r="CJ5" s="164"/>
      <c r="CK5" s="164"/>
      <c r="CL5" s="164"/>
      <c r="CM5" s="164"/>
      <c r="CN5" s="164"/>
      <c r="CO5" s="164"/>
      <c r="CP5" s="164"/>
      <c r="CQ5" s="164"/>
      <c r="CR5" s="164"/>
      <c r="CS5" s="164"/>
      <c r="CT5" s="164"/>
      <c r="CU5" s="164"/>
      <c r="CV5" s="164"/>
      <c r="CW5" s="164"/>
      <c r="CX5" s="164"/>
      <c r="CY5" s="164"/>
      <c r="CZ5" s="164"/>
      <c r="DA5" s="164"/>
      <c r="DB5" s="164"/>
      <c r="DC5" s="164"/>
      <c r="DD5" s="164"/>
      <c r="DE5" s="164"/>
      <c r="DF5" s="54"/>
      <c r="DG5" s="57" t="s">
        <v>63</v>
      </c>
      <c r="DH5" s="59">
        <f>COUNTIF(C15:C65523,"&lt;&gt;")</f>
        <v>0</v>
      </c>
      <c r="DI5" s="60"/>
      <c r="DJ5" s="61" t="s">
        <v>3</v>
      </c>
      <c r="DK5" s="62">
        <f ca="1">COUNTIF(DI15:DI65523,"NG")</f>
        <v>0</v>
      </c>
      <c r="DL5" s="165" t="s">
        <v>4</v>
      </c>
      <c r="DM5" s="165"/>
      <c r="DN5" s="58">
        <f>COUNTIF(J15:DE65523,"&lt;&gt;")</f>
        <v>234</v>
      </c>
      <c r="DO5" s="75" t="s">
        <v>5</v>
      </c>
      <c r="DP5" s="76" t="s">
        <v>6</v>
      </c>
      <c r="DQ5" s="76" t="s">
        <v>7</v>
      </c>
      <c r="DR5" s="87"/>
      <c r="DS5" s="87"/>
      <c r="DT5" s="100"/>
      <c r="DU5" s="101"/>
      <c r="DV5" s="98"/>
      <c r="DW5" s="102"/>
      <c r="DX5" s="102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</row>
    <row r="6" spans="1:252" ht="16.5" customHeight="1">
      <c r="A6" s="33" t="s">
        <v>8</v>
      </c>
      <c r="B6" s="157"/>
      <c r="C6" s="157"/>
      <c r="D6" s="157"/>
      <c r="E6" s="33" t="s">
        <v>9</v>
      </c>
      <c r="F6" s="169">
        <v>45661</v>
      </c>
      <c r="G6" s="170"/>
      <c r="H6" s="63" t="s">
        <v>10</v>
      </c>
      <c r="I6" s="64"/>
      <c r="J6" s="65"/>
      <c r="K6" s="65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6"/>
      <c r="DF6" s="67"/>
      <c r="DG6" s="57" t="s">
        <v>64</v>
      </c>
      <c r="DH6" s="58">
        <f>COUNTIF(B15:B65523,"&lt;&gt;")</f>
        <v>13</v>
      </c>
      <c r="DI6" s="171" t="s">
        <v>11</v>
      </c>
      <c r="DJ6" s="171"/>
      <c r="DK6" s="171" t="s">
        <v>12</v>
      </c>
      <c r="DL6" s="171"/>
      <c r="DM6" s="171" t="s">
        <v>13</v>
      </c>
      <c r="DN6" s="171"/>
      <c r="DO6" s="77" t="s">
        <v>14</v>
      </c>
      <c r="DP6" s="78">
        <f>COUNTIF(DO13:DO65523,DO6)</f>
        <v>0</v>
      </c>
      <c r="DQ6" s="79">
        <f>IF(DP6&lt;&gt;0,DP6/SUM(DP6:DP11),0)</f>
        <v>0</v>
      </c>
      <c r="DR6" s="87"/>
      <c r="DS6" s="103"/>
      <c r="DT6" s="97"/>
      <c r="DU6" s="101"/>
      <c r="DV6" s="98"/>
      <c r="DW6" s="102"/>
      <c r="DX6" s="102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</row>
    <row r="7" spans="1:252" ht="16.5" customHeight="1">
      <c r="A7" s="33" t="s">
        <v>15</v>
      </c>
      <c r="B7" s="157" t="s">
        <v>110</v>
      </c>
      <c r="C7" s="157"/>
      <c r="D7" s="157"/>
      <c r="E7" s="33" t="s">
        <v>16</v>
      </c>
      <c r="F7" s="169">
        <v>45661</v>
      </c>
      <c r="G7" s="170"/>
      <c r="H7" s="68" t="s">
        <v>67</v>
      </c>
      <c r="J7" s="16"/>
      <c r="K7" s="16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69"/>
      <c r="DG7" s="34" t="s">
        <v>17</v>
      </c>
      <c r="DH7" s="35"/>
      <c r="DI7" s="175">
        <v>1</v>
      </c>
      <c r="DJ7" s="175"/>
      <c r="DK7" s="176">
        <f ca="1">IF(COUNTIF(DI15:DI65523,"OK")+COUNTIF(DI15:DI65523,"NG")=0,"",IF(COUNTIF(DI15:DI65523,"OK")=0,0,COUNTIF(DI15:DI65523,"OK")/(COUNTIF(DI15:DI65523,"OK")+COUNTIF(DI15:DI65523,"NG"))))</f>
        <v>1</v>
      </c>
      <c r="DL7" s="176"/>
      <c r="DM7" s="173" t="str">
        <f ca="1">IF(DK7="","",IF(DK7&lt;DI7,"NG","OK"))</f>
        <v>OK</v>
      </c>
      <c r="DN7" s="173"/>
      <c r="DO7" s="77" t="s">
        <v>18</v>
      </c>
      <c r="DP7" s="78">
        <f>COUNTIF(DO13:DO65523,DO7)</f>
        <v>0</v>
      </c>
      <c r="DQ7" s="79">
        <f>IF(DP7&lt;&gt;0,DP7/SUM(DP6:DP11),0)</f>
        <v>0</v>
      </c>
      <c r="DR7" s="104"/>
      <c r="DS7" s="103"/>
      <c r="DT7" s="100"/>
      <c r="DU7" s="101"/>
      <c r="DV7" s="98"/>
      <c r="DW7" s="102"/>
      <c r="DX7" s="102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</row>
    <row r="8" spans="1:252" ht="16.5" customHeight="1">
      <c r="A8" s="33" t="s">
        <v>19</v>
      </c>
      <c r="B8" s="177" t="s">
        <v>91</v>
      </c>
      <c r="C8" s="157"/>
      <c r="D8" s="157"/>
      <c r="E8" s="33" t="s">
        <v>20</v>
      </c>
      <c r="F8" s="158" t="s">
        <v>92</v>
      </c>
      <c r="G8" s="158"/>
      <c r="H8" s="68" t="s">
        <v>21</v>
      </c>
      <c r="J8" s="16"/>
      <c r="K8" s="16"/>
      <c r="L8" s="17"/>
      <c r="M8" s="17"/>
      <c r="O8" s="17"/>
      <c r="P8" s="126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69"/>
      <c r="DG8" s="34" t="s">
        <v>22</v>
      </c>
      <c r="DH8" s="35"/>
      <c r="DI8" s="153">
        <v>45661</v>
      </c>
      <c r="DJ8" s="154"/>
      <c r="DK8" s="155"/>
      <c r="DL8" s="156"/>
      <c r="DM8" s="173"/>
      <c r="DN8" s="173"/>
      <c r="DO8" s="77" t="s">
        <v>23</v>
      </c>
      <c r="DP8" s="78">
        <f>COUNTIF(DO13:DO65523,DO8)</f>
        <v>0</v>
      </c>
      <c r="DQ8" s="79">
        <f>IF(DP8&lt;&gt;0,DP8/SUM(DP6:DP11),0)</f>
        <v>0</v>
      </c>
      <c r="DR8" s="105"/>
      <c r="DS8" s="103"/>
      <c r="DT8" s="106"/>
      <c r="DU8" s="101"/>
      <c r="DV8" s="98"/>
      <c r="DW8" s="102"/>
      <c r="DX8" s="102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</row>
    <row r="9" spans="1:252" ht="16.5" customHeight="1">
      <c r="A9" s="33" t="s">
        <v>24</v>
      </c>
      <c r="B9" s="157" t="s">
        <v>93</v>
      </c>
      <c r="C9" s="157"/>
      <c r="D9" s="157"/>
      <c r="E9" s="33" t="s">
        <v>25</v>
      </c>
      <c r="F9" s="174" t="s">
        <v>108</v>
      </c>
      <c r="G9" s="174"/>
      <c r="H9" s="68" t="s">
        <v>26</v>
      </c>
      <c r="J9" s="16"/>
      <c r="K9" s="16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69"/>
      <c r="DG9" s="34" t="s">
        <v>27</v>
      </c>
      <c r="DH9" s="35"/>
      <c r="DI9" s="153">
        <v>45661</v>
      </c>
      <c r="DJ9" s="154"/>
      <c r="DK9" s="155"/>
      <c r="DL9" s="156"/>
      <c r="DM9" s="173"/>
      <c r="DN9" s="173"/>
      <c r="DO9" s="77" t="s">
        <v>28</v>
      </c>
      <c r="DP9" s="78">
        <f>COUNTIF(DO13:DO65523,DO9)</f>
        <v>0</v>
      </c>
      <c r="DQ9" s="79">
        <f>IF(DP9&lt;&gt;0,DP9/SUM(DP6:DP11),0)</f>
        <v>0</v>
      </c>
      <c r="DR9" s="105"/>
      <c r="DS9" s="103"/>
      <c r="DT9" s="101"/>
      <c r="DU9" s="101"/>
      <c r="DV9" s="98"/>
      <c r="DW9" s="102"/>
      <c r="DX9" s="102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</row>
    <row r="10" spans="1:252" ht="16.5" customHeight="1">
      <c r="A10" s="33" t="s">
        <v>29</v>
      </c>
      <c r="B10" s="157" t="s">
        <v>94</v>
      </c>
      <c r="C10" s="157"/>
      <c r="D10" s="157"/>
      <c r="E10" s="33" t="s">
        <v>30</v>
      </c>
      <c r="F10" s="158" t="s">
        <v>83</v>
      </c>
      <c r="G10" s="158"/>
      <c r="H10" s="70" t="s">
        <v>31</v>
      </c>
      <c r="I10" s="71"/>
      <c r="J10" s="72"/>
      <c r="K10" s="72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  <c r="CY10" s="73"/>
      <c r="CZ10" s="73"/>
      <c r="DA10" s="73"/>
      <c r="DB10" s="73"/>
      <c r="DC10" s="73"/>
      <c r="DD10" s="73"/>
      <c r="DE10" s="73"/>
      <c r="DF10" s="74"/>
      <c r="DG10" s="82" t="s">
        <v>32</v>
      </c>
      <c r="DH10" s="83"/>
      <c r="DI10" s="159" t="s">
        <v>111</v>
      </c>
      <c r="DJ10" s="160"/>
      <c r="DK10" s="160"/>
      <c r="DL10" s="160"/>
      <c r="DM10" s="173"/>
      <c r="DN10" s="173"/>
      <c r="DO10" s="77" t="s">
        <v>33</v>
      </c>
      <c r="DP10" s="78">
        <f>COUNTIF(DO13:DO65523,DO10)</f>
        <v>0</v>
      </c>
      <c r="DQ10" s="79">
        <f>IF(DP10&lt;&gt;0,DP10/SUM(DP6:DP11),0)</f>
        <v>0</v>
      </c>
      <c r="DR10" s="107"/>
      <c r="DS10" s="103"/>
      <c r="DT10" s="106"/>
      <c r="DU10" s="101"/>
      <c r="DV10" s="98"/>
      <c r="DW10" s="102"/>
      <c r="DX10" s="102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</row>
    <row r="11" spans="1:252" ht="16.5" customHeight="1">
      <c r="A11" s="33" t="s">
        <v>34</v>
      </c>
      <c r="B11" s="172"/>
      <c r="C11" s="172"/>
      <c r="D11" s="172"/>
      <c r="E11" s="33" t="s">
        <v>35</v>
      </c>
      <c r="F11" s="158">
        <v>18</v>
      </c>
      <c r="G11" s="158"/>
      <c r="H11" s="55"/>
      <c r="I11" s="56" t="s">
        <v>36</v>
      </c>
      <c r="J11" s="36" t="str">
        <f>IFERROR(IF(COUNT(J15:J1004)=0,"",OKNG($EC15:$EC1004,$ED15:$ED1004,J15:J1004)),"出错")</f>
        <v>OK</v>
      </c>
      <c r="K11" s="36" t="str">
        <f>IFERROR(IF(COUNT(K15:K1004)=0,"",OKNG($EC15:$EC1004,$ED15:$ED1004,K15:K1004)),"出错")</f>
        <v>OK</v>
      </c>
      <c r="L11" s="36" t="str">
        <f>IFERROR(IF(COUNT(L15:L1004)=0,"",OKNG($EC15:$EC1004,$ED15:$ED1004,L15:L1004)),"出错")</f>
        <v>OK</v>
      </c>
      <c r="M11" s="36" t="str">
        <f>IFERROR(IF(COUNT(M15:M1004)=0,"",OKNG($EC15:$EC1004,$ED15:$ED1004,M15:M1004)),"出错")</f>
        <v>OK</v>
      </c>
      <c r="N11" s="36" t="str">
        <f>IFERROR(IF(COUNT(N15:N1004)=0,"",OKNG($EC15:$EC1004,$ED15:$ED1004,N15:N1004)),"出错")</f>
        <v>OK</v>
      </c>
      <c r="O11" s="36" t="str">
        <f>IFERROR(IF(COUNT(O15:O1004)=0,"",OKNG($EC15:$EC1004,$ED15:$ED1004,O15:O1004)),"出错")</f>
        <v>OK</v>
      </c>
      <c r="P11" s="36" t="str">
        <f>IFERROR(IF(COUNT(P15:P1004)=0,"",OKNG($EC15:$EC1004,$ED15:$ED1004,P15:P1004)),"出错")</f>
        <v>OK</v>
      </c>
      <c r="Q11" s="36" t="str">
        <f>IFERROR(IF(COUNT(Q15:Q1004)=0,"",OKNG($EC15:$EC1004,$ED15:$ED1004,Q15:Q1004)),"出错")</f>
        <v>OK</v>
      </c>
      <c r="R11" s="36" t="str">
        <f>IFERROR(IF(COUNT(R15:R1004)=0,"",OKNG($EC15:$EC1004,$ED15:$ED1004,R15:R1004)),"出错")</f>
        <v>OK</v>
      </c>
      <c r="S11" s="36" t="str">
        <f>IFERROR(IF(COUNT(S15:S1004)=0,"",OKNG($EC15:$EC1004,$ED15:$ED1004,S15:S1004)),"出错")</f>
        <v>OK</v>
      </c>
      <c r="T11" s="36" t="str">
        <f>IFERROR(IF(COUNT(T15:T1004)=0,"",OKNG($EC15:$EC1004,$ED15:$ED1004,T15:T1004)),"出错")</f>
        <v>OK</v>
      </c>
      <c r="U11" s="36" t="str">
        <f>IFERROR(IF(COUNT(U15:U1004)=0,"",OKNG($EC15:$EC1004,$ED15:$ED1004,U15:U1004)),"出错")</f>
        <v>OK</v>
      </c>
      <c r="V11" s="36" t="str">
        <f>IFERROR(IF(COUNT(V15:V1004)=0,"",OKNG($EC15:$EC1004,$ED15:$ED1004,V15:V1004)),"出错")</f>
        <v>OK</v>
      </c>
      <c r="W11" s="36" t="str">
        <f>IFERROR(IF(COUNT(W15:W1004)=0,"",OKNG($EC15:$EC1004,$ED15:$ED1004,W15:W1004)),"出错")</f>
        <v>OK</v>
      </c>
      <c r="X11" s="36" t="str">
        <f>IFERROR(IF(COUNT(X15:X1004)=0,"",OKNG($EC15:$EC1004,$ED15:$ED1004,X15:X1004)),"出错")</f>
        <v>OK</v>
      </c>
      <c r="Y11" s="36" t="str">
        <f>IFERROR(IF(COUNT(Y15:Y1004)=0,"",OKNG($EC15:$EC1004,$ED15:$ED1004,Y15:Y1004)),"出错")</f>
        <v>OK</v>
      </c>
      <c r="Z11" s="36" t="str">
        <f>IFERROR(IF(COUNT(Z15:Z1004)=0,"",OKNG($EC15:$EC1004,$ED15:$ED1004,Z15:Z1004)),"出错")</f>
        <v>OK</v>
      </c>
      <c r="AA11" s="36" t="str">
        <f>IFERROR(IF(COUNT(AA15:AA1004)=0,"",OKNG($EC15:$EC1004,$ED15:$ED1004,AA15:AA1004)),"出错")</f>
        <v>OK</v>
      </c>
      <c r="AB11" s="36" t="str">
        <f>IFERROR(IF(COUNT(AB15:AB1004)=0,"",OKNG($EC15:$EC1004,$ED15:$ED1004,AB15:AB1004)),"出错")</f>
        <v/>
      </c>
      <c r="AC11" s="36" t="str">
        <f>IFERROR(IF(COUNT(AC15:AC1004)=0,"",OKNG($EC15:$EC1004,$ED15:$ED1004,AC15:AC1004)),"出错")</f>
        <v/>
      </c>
      <c r="AD11" s="36" t="str">
        <f>IFERROR(IF(COUNT(AD15:AD1004)=0,"",OKNG($EC15:$EC1004,$ED15:$ED1004,AD15:AD1004)),"出错")</f>
        <v/>
      </c>
      <c r="AE11" s="36" t="str">
        <f>IFERROR(IF(COUNT(AE15:AE1004)=0,"",OKNG($EC15:$EC1004,$ED15:$ED1004,AE15:AE1004)),"出错")</f>
        <v/>
      </c>
      <c r="AF11" s="36" t="str">
        <f>IFERROR(IF(COUNT(AF15:AF1004)=0,"",OKNG($EC15:$EC1004,$ED15:$ED1004,AF15:AF1004)),"出错")</f>
        <v/>
      </c>
      <c r="AG11" s="36" t="str">
        <f>IFERROR(IF(COUNT(AG15:AG1004)=0,"",OKNG($EC15:$EC1004,$ED15:$ED1004,AG15:AG1004)),"出错")</f>
        <v/>
      </c>
      <c r="AH11" s="36" t="str">
        <f>IFERROR(IF(COUNT(AH15:AH1004)=0,"",OKNG($EC15:$EC1004,$ED15:$ED1004,AH15:AH1004)),"出错")</f>
        <v/>
      </c>
      <c r="AI11" s="36" t="str">
        <f>IFERROR(IF(COUNT(AI15:AI1004)=0,"",OKNG($EC15:$EC1004,$ED15:$ED1004,AI15:AI1004)),"出错")</f>
        <v/>
      </c>
      <c r="AJ11" s="36" t="str">
        <f>IFERROR(IF(COUNT(AJ15:AJ1004)=0,"",OKNG($EC15:$EC1004,$ED15:$ED1004,AJ15:AJ1004)),"出错")</f>
        <v/>
      </c>
      <c r="AK11" s="36" t="str">
        <f>IFERROR(IF(COUNT(AK15:AK1004)=0,"",OKNG($EC15:$EC1004,$ED15:$ED1004,AK15:AK1004)),"出错")</f>
        <v/>
      </c>
      <c r="AL11" s="36" t="str">
        <f>IFERROR(IF(COUNT(AL15:AL1004)=0,"",OKNG($EC15:$EC1004,$ED15:$ED1004,AL15:AL1004)),"出错")</f>
        <v/>
      </c>
      <c r="AM11" s="36" t="str">
        <f>IFERROR(IF(COUNT(AM15:AM1004)=0,"",OKNG($EC15:$EC1004,$ED15:$ED1004,AM15:AM1004)),"出错")</f>
        <v/>
      </c>
      <c r="AN11" s="36" t="str">
        <f>IFERROR(IF(COUNT(AN15:AN1004)=0,"",OKNG($EC15:$EC1004,$ED15:$ED1004,AN15:AN1004)),"出错")</f>
        <v/>
      </c>
      <c r="AO11" s="36" t="str">
        <f>IFERROR(IF(COUNT(AO15:AO1004)=0,"",OKNG($EC15:$EC1004,$ED15:$ED1004,AO15:AO1004)),"出错")</f>
        <v/>
      </c>
      <c r="AP11" s="36" t="str">
        <f>IFERROR(IF(COUNT(AP15:AP1004)=0,"",OKNG($EC15:$EC1004,$ED15:$ED1004,AP15:AP1004)),"出错")</f>
        <v/>
      </c>
      <c r="AQ11" s="36" t="str">
        <f>IFERROR(IF(COUNT(AQ15:AQ1004)=0,"",OKNG($EC15:$EC1004,$ED15:$ED1004,AQ15:AQ1004)),"出错")</f>
        <v/>
      </c>
      <c r="AR11" s="36" t="str">
        <f>IFERROR(IF(COUNT(AR15:AR1004)=0,"",OKNG($EC15:$EC1004,$ED15:$ED1004,AR15:AR1004)),"出错")</f>
        <v/>
      </c>
      <c r="AS11" s="36" t="str">
        <f>IFERROR(IF(COUNT(AS15:AS1004)=0,"",OKNG($EC15:$EC1004,$ED15:$ED1004,AS15:AS1004)),"出错")</f>
        <v/>
      </c>
      <c r="AT11" s="36" t="str">
        <f>IFERROR(IF(COUNT(AT15:AT1004)=0,"",OKNG($EC15:$EC1004,$ED15:$ED1004,AT15:AT1004)),"出错")</f>
        <v/>
      </c>
      <c r="AU11" s="36" t="str">
        <f>IFERROR(IF(COUNT(AU15:AU1004)=0,"",OKNG($EC15:$EC1004,$ED15:$ED1004,AU15:AU1004)),"出错")</f>
        <v/>
      </c>
      <c r="AV11" s="36" t="str">
        <f>IFERROR(IF(COUNT(AV15:AV1004)=0,"",OKNG($EC15:$EC1004,$ED15:$ED1004,AV15:AV1004)),"出错")</f>
        <v/>
      </c>
      <c r="AW11" s="36" t="str">
        <f>IFERROR(IF(COUNT(AW15:AW1004)=0,"",OKNG($EC15:$EC1004,$ED15:$ED1004,AW15:AW1004)),"出错")</f>
        <v/>
      </c>
      <c r="AX11" s="36" t="str">
        <f>IFERROR(IF(COUNT(AX15:AX1004)=0,"",OKNG($EC15:$EC1004,$ED15:$ED1004,AX15:AX1004)),"出错")</f>
        <v/>
      </c>
      <c r="AY11" s="36" t="str">
        <f>IFERROR(IF(COUNT(AY15:AY1004)=0,"",OKNG($EC15:$EC1004,$ED15:$ED1004,AY15:AY1004)),"出错")</f>
        <v/>
      </c>
      <c r="AZ11" s="36" t="str">
        <f>IFERROR(IF(COUNT(AZ15:AZ1004)=0,"",OKNG($EC15:$EC1004,$ED15:$ED1004,AZ15:AZ1004)),"出错")</f>
        <v/>
      </c>
      <c r="BA11" s="36" t="str">
        <f>IFERROR(IF(COUNT(BA15:BA1004)=0,"",OKNG($EC15:$EC1004,$ED15:$ED1004,BA15:BA1004)),"出错")</f>
        <v/>
      </c>
      <c r="BB11" s="36" t="str">
        <f>IFERROR(IF(COUNT(BB15:BB1004)=0,"",OKNG($EC15:$EC1004,$ED15:$ED1004,BB15:BB1004)),"出错")</f>
        <v/>
      </c>
      <c r="BC11" s="36" t="str">
        <f>IFERROR(IF(COUNT(BC15:BC1004)=0,"",OKNG($EC15:$EC1004,$ED15:$ED1004,BC15:BC1004)),"出错")</f>
        <v/>
      </c>
      <c r="BD11" s="36" t="str">
        <f>IFERROR(IF(COUNT(BD15:BD1004)=0,"",OKNG($EC15:$EC1004,$ED15:$ED1004,BD15:BD1004)),"出错")</f>
        <v/>
      </c>
      <c r="BE11" s="36" t="str">
        <f>IFERROR(IF(COUNT(BE15:BE1004)=0,"",OKNG($EC15:$EC1004,$ED15:$ED1004,BE15:BE1004)),"出错")</f>
        <v/>
      </c>
      <c r="BF11" s="36" t="str">
        <f>IFERROR(IF(COUNT(BF15:BF1004)=0,"",OKNG($EC15:$EC1004,$ED15:$ED1004,BF15:BF1004)),"出错")</f>
        <v/>
      </c>
      <c r="BG11" s="36" t="str">
        <f>IFERROR(IF(COUNT(BG15:BG1004)=0,"",OKNG($EC15:$EC1004,$ED15:$ED1004,BG15:BG1004)),"出错")</f>
        <v/>
      </c>
      <c r="BH11" s="36" t="str">
        <f>IFERROR(IF(COUNT(BH15:BH1004)=0,"",OKNG($EC15:$EC1004,$ED15:$ED1004,BH15:BH1004)),"出错")</f>
        <v/>
      </c>
      <c r="BI11" s="36" t="str">
        <f>IFERROR(IF(COUNT(BI15:BI1004)=0,"",OKNG($EC15:$EC1004,$ED15:$ED1004,BI15:BI1004)),"出错")</f>
        <v/>
      </c>
      <c r="BJ11" s="36" t="str">
        <f>IFERROR(IF(COUNT(BJ15:BJ1004)=0,"",OKNG($EC15:$EC1004,$ED15:$ED1004,BJ15:BJ1004)),"出错")</f>
        <v/>
      </c>
      <c r="BK11" s="36" t="str">
        <f>IFERROR(IF(COUNT(BK15:BK1004)=0,"",OKNG($EC15:$EC1004,$ED15:$ED1004,BK15:BK1004)),"出错")</f>
        <v/>
      </c>
      <c r="BL11" s="36" t="str">
        <f>IFERROR(IF(COUNT(BL15:BL1004)=0,"",OKNG($EC15:$EC1004,$ED15:$ED1004,BL15:BL1004)),"出错")</f>
        <v/>
      </c>
      <c r="BM11" s="36" t="str">
        <f>IFERROR(IF(COUNT(BM15:BM1004)=0,"",OKNG($EC15:$EC1004,$ED15:$ED1004,BM15:BM1004)),"出错")</f>
        <v/>
      </c>
      <c r="BN11" s="36" t="str">
        <f>IFERROR(IF(COUNT(BN15:BN1004)=0,"",OKNG($EC15:$EC1004,$ED15:$ED1004,BN15:BN1004)),"出错")</f>
        <v/>
      </c>
      <c r="BO11" s="36" t="str">
        <f>IFERROR(IF(COUNT(BO15:BO1004)=0,"",OKNG($EC15:$EC1004,$ED15:$ED1004,BO15:BO1004)),"出错")</f>
        <v/>
      </c>
      <c r="BP11" s="36" t="str">
        <f>IFERROR(IF(COUNT(BP15:BP1004)=0,"",OKNG($EC15:$EC1004,$ED15:$ED1004,BP15:BP1004)),"出错")</f>
        <v/>
      </c>
      <c r="BQ11" s="36" t="str">
        <f>IFERROR(IF(COUNT(BQ15:BQ1004)=0,"",OKNG($EC15:$EC1004,$ED15:$ED1004,BQ15:BQ1004)),"出错")</f>
        <v/>
      </c>
      <c r="BR11" s="36" t="str">
        <f>IFERROR(IF(COUNT(BR15:BR1004)=0,"",OKNG($EC15:$EC1004,$ED15:$ED1004,BR15:BR1004)),"出错")</f>
        <v/>
      </c>
      <c r="BS11" s="36" t="str">
        <f>IFERROR(IF(COUNT(BS15:BS1004)=0,"",OKNG($EC15:$EC1004,$ED15:$ED1004,BS15:BS1004)),"出错")</f>
        <v/>
      </c>
      <c r="BT11" s="36" t="str">
        <f>IFERROR(IF(COUNT(BT15:BT1004)=0,"",OKNG($EC15:$EC1004,$ED15:$ED1004,BT15:BT1004)),"出错")</f>
        <v/>
      </c>
      <c r="BU11" s="36" t="str">
        <f>IFERROR(IF(COUNT(BU15:BU1004)=0,"",OKNG($EC15:$EC1004,$ED15:$ED1004,BU15:BU1004)),"出错")</f>
        <v/>
      </c>
      <c r="BV11" s="36" t="str">
        <f>IFERROR(IF(COUNT(BV15:BV1004)=0,"",OKNG($EC15:$EC1004,$ED15:$ED1004,BV15:BV1004)),"出错")</f>
        <v/>
      </c>
      <c r="BW11" s="36" t="str">
        <f>IFERROR(IF(COUNT(BW15:BW1004)=0,"",OKNG($EC15:$EC1004,$ED15:$ED1004,BW15:BW1004)),"出错")</f>
        <v/>
      </c>
      <c r="BX11" s="36" t="str">
        <f>IFERROR(IF(COUNT(BX15:BX1004)=0,"",OKNG($EC15:$EC1004,$ED15:$ED1004,BX15:BX1004)),"出错")</f>
        <v/>
      </c>
      <c r="BY11" s="36" t="str">
        <f>IFERROR(IF(COUNT(BY15:BY1004)=0,"",OKNG($EC15:$EC1004,$ED15:$ED1004,BY15:BY1004)),"出错")</f>
        <v/>
      </c>
      <c r="BZ11" s="36" t="str">
        <f>IFERROR(IF(COUNT(BZ15:BZ1004)=0,"",OKNG($EC15:$EC1004,$ED15:$ED1004,BZ15:BZ1004)),"出错")</f>
        <v/>
      </c>
      <c r="CA11" s="36" t="str">
        <f>IFERROR(IF(COUNT(CA15:CA1004)=0,"",OKNG($EC15:$EC1004,$ED15:$ED1004,CA15:CA1004)),"出错")</f>
        <v/>
      </c>
      <c r="CB11" s="36" t="str">
        <f>IFERROR(IF(COUNT(CB15:CB1004)=0,"",OKNG($EC15:$EC1004,$ED15:$ED1004,CB15:CB1004)),"出错")</f>
        <v/>
      </c>
      <c r="CC11" s="36" t="str">
        <f>IFERROR(IF(COUNT(CC15:CC1004)=0,"",OKNG($EC15:$EC1004,$ED15:$ED1004,CC15:CC1004)),"出错")</f>
        <v/>
      </c>
      <c r="CD11" s="36" t="str">
        <f>IFERROR(IF(COUNT(CD15:CD1004)=0,"",OKNG($EC15:$EC1004,$ED15:$ED1004,CD15:CD1004)),"出错")</f>
        <v/>
      </c>
      <c r="CE11" s="36" t="str">
        <f>IFERROR(IF(COUNT(CE15:CE1004)=0,"",OKNG($EC15:$EC1004,$ED15:$ED1004,CE15:CE1004)),"出错")</f>
        <v/>
      </c>
      <c r="CF11" s="36" t="str">
        <f>IFERROR(IF(COUNT(CF15:CF1004)=0,"",OKNG($EC15:$EC1004,$ED15:$ED1004,CF15:CF1004)),"出错")</f>
        <v/>
      </c>
      <c r="CG11" s="36" t="str">
        <f>IFERROR(IF(COUNT(CG15:CG1004)=0,"",OKNG($EC15:$EC1004,$ED15:$ED1004,CG15:CG1004)),"出错")</f>
        <v/>
      </c>
      <c r="CH11" s="36" t="str">
        <f>IFERROR(IF(COUNT(CH15:CH1004)=0,"",OKNG($EC15:$EC1004,$ED15:$ED1004,CH15:CH1004)),"出错")</f>
        <v/>
      </c>
      <c r="CI11" s="36" t="str">
        <f>IFERROR(IF(COUNT(CI15:CI1004)=0,"",OKNG($EC15:$EC1004,$ED15:$ED1004,CI15:CI1004)),"出错")</f>
        <v/>
      </c>
      <c r="CJ11" s="36" t="str">
        <f>IFERROR(IF(COUNT(CJ15:CJ1004)=0,"",OKNG($EC15:$EC1004,$ED15:$ED1004,CJ15:CJ1004)),"出错")</f>
        <v/>
      </c>
      <c r="CK11" s="36" t="str">
        <f>IFERROR(IF(COUNT(CK15:CK1004)=0,"",OKNG($EC15:$EC1004,$ED15:$ED1004,CK15:CK1004)),"出错")</f>
        <v/>
      </c>
      <c r="CL11" s="36" t="str">
        <f>IFERROR(IF(COUNT(CL15:CL1004)=0,"",OKNG($EC15:$EC1004,$ED15:$ED1004,CL15:CL1004)),"出错")</f>
        <v/>
      </c>
      <c r="CM11" s="36" t="str">
        <f>IFERROR(IF(COUNT(CM15:CM1004)=0,"",OKNG($EC15:$EC1004,$ED15:$ED1004,CM15:CM1004)),"出错")</f>
        <v/>
      </c>
      <c r="CN11" s="36" t="str">
        <f>IFERROR(IF(COUNT(CN15:CN1004)=0,"",OKNG($EC15:$EC1004,$ED15:$ED1004,CN15:CN1004)),"出错")</f>
        <v/>
      </c>
      <c r="CO11" s="36" t="str">
        <f>IFERROR(IF(COUNT(CO15:CO1004)=0,"",OKNG($EC15:$EC1004,$ED15:$ED1004,CO15:CO1004)),"出错")</f>
        <v/>
      </c>
      <c r="CP11" s="36" t="str">
        <f>IFERROR(IF(COUNT(CP15:CP1004)=0,"",OKNG($EC15:$EC1004,$ED15:$ED1004,CP15:CP1004)),"出错")</f>
        <v/>
      </c>
      <c r="CQ11" s="36" t="str">
        <f>IFERROR(IF(COUNT(CQ15:CQ1004)=0,"",OKNG($EC15:$EC1004,$ED15:$ED1004,CQ15:CQ1004)),"出错")</f>
        <v/>
      </c>
      <c r="CR11" s="36" t="str">
        <f>IFERROR(IF(COUNT(CR15:CR1004)=0,"",OKNG($EC15:$EC1004,$ED15:$ED1004,CR15:CR1004)),"出错")</f>
        <v/>
      </c>
      <c r="CS11" s="36" t="str">
        <f>IFERROR(IF(COUNT(CS15:CS1004)=0,"",OKNG($EC15:$EC1004,$ED15:$ED1004,CS15:CS1004)),"出错")</f>
        <v/>
      </c>
      <c r="CT11" s="36" t="str">
        <f>IFERROR(IF(COUNT(CT15:CT1004)=0,"",OKNG($EC15:$EC1004,$ED15:$ED1004,CT15:CT1004)),"出错")</f>
        <v/>
      </c>
      <c r="CU11" s="36" t="str">
        <f>IFERROR(IF(COUNT(CU15:CU1004)=0,"",OKNG($EC15:$EC1004,$ED15:$ED1004,CU15:CU1004)),"出错")</f>
        <v/>
      </c>
      <c r="CV11" s="36" t="str">
        <f>IFERROR(IF(COUNT(CV15:CV1004)=0,"",OKNG($EC15:$EC1004,$ED15:$ED1004,CV15:CV1004)),"出错")</f>
        <v/>
      </c>
      <c r="CW11" s="36" t="str">
        <f>IFERROR(IF(COUNT(CW15:CW1004)=0,"",OKNG($EC15:$EC1004,$ED15:$ED1004,CW15:CW1004)),"出错")</f>
        <v/>
      </c>
      <c r="CX11" s="36" t="str">
        <f>IFERROR(IF(COUNT(CX15:CX1004)=0,"",OKNG($EC15:$EC1004,$ED15:$ED1004,CX15:CX1004)),"出错")</f>
        <v/>
      </c>
      <c r="CY11" s="36" t="str">
        <f>IFERROR(IF(COUNT(CY15:CY1004)=0,"",OKNG($EC15:$EC1004,$ED15:$ED1004,CY15:CY1004)),"出错")</f>
        <v/>
      </c>
      <c r="CZ11" s="36" t="str">
        <f>IFERROR(IF(COUNT(CZ15:CZ1004)=0,"",OKNG($EC15:$EC1004,$ED15:$ED1004,CZ15:CZ1004)),"出错")</f>
        <v/>
      </c>
      <c r="DA11" s="36" t="str">
        <f>IFERROR(IF(COUNT(DA15:DA1004)=0,"",OKNG($EC15:$EC1004,$ED15:$ED1004,DA15:DA1004)),"出错")</f>
        <v/>
      </c>
      <c r="DB11" s="36" t="str">
        <f>IFERROR(IF(COUNT(DB15:DB1004)=0,"",OKNG($EC15:$EC1004,$ED15:$ED1004,DB15:DB1004)),"出错")</f>
        <v/>
      </c>
      <c r="DC11" s="36" t="str">
        <f>IFERROR(IF(COUNT(DC15:DC1004)=0,"",OKNG($EC15:$EC1004,$ED15:$ED1004,DC15:DC1004)),"出错")</f>
        <v/>
      </c>
      <c r="DD11" s="36" t="str">
        <f>IFERROR(IF(COUNT(DD15:DD1004)=0,"",OKNG($EC15:$EC1004,$ED15:$ED1004,DD15:DD1004)),"出错")</f>
        <v/>
      </c>
      <c r="DE11" s="36" t="str">
        <f>IFERROR(IF(COUNT(DE15:DE1004)=0,"",OKNG($EC15:$EC1004,$ED15:$ED1004,DE15:DE1004)),"出错")</f>
        <v/>
      </c>
      <c r="DF11" s="37" t="s">
        <v>37</v>
      </c>
      <c r="DG11" s="82" t="s">
        <v>38</v>
      </c>
      <c r="DH11" s="83"/>
      <c r="DI11" s="159" t="s">
        <v>112</v>
      </c>
      <c r="DJ11" s="160"/>
      <c r="DK11" s="160"/>
      <c r="DL11" s="160"/>
      <c r="DM11" s="173"/>
      <c r="DN11" s="173"/>
      <c r="DO11" s="77" t="s">
        <v>39</v>
      </c>
      <c r="DP11" s="78">
        <f>COUNTIF(DO13:DO65523,DO11)</f>
        <v>0</v>
      </c>
      <c r="DQ11" s="79">
        <f>IF(DP11&lt;&gt;0,DP11/SUM(DP6:DP11),0)</f>
        <v>0</v>
      </c>
      <c r="DR11" s="107"/>
      <c r="DS11" s="108"/>
      <c r="DT11" s="101"/>
      <c r="DU11" s="101"/>
      <c r="DV11" s="98"/>
      <c r="DW11" s="102"/>
      <c r="DX11" s="102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</row>
    <row r="12" spans="1:252" s="18" customFormat="1" ht="16.5" customHeight="1">
      <c r="A12" s="128" t="s">
        <v>81</v>
      </c>
      <c r="B12" s="38"/>
      <c r="C12" s="38"/>
      <c r="D12" s="39"/>
      <c r="E12" s="40"/>
      <c r="F12" s="40"/>
      <c r="G12" s="40"/>
      <c r="H12" s="40"/>
      <c r="I12" s="40"/>
      <c r="J12" s="136" t="s">
        <v>109</v>
      </c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131"/>
      <c r="DG12" s="132"/>
      <c r="DH12" s="129"/>
      <c r="DI12" s="130"/>
      <c r="DJ12" s="148" t="s">
        <v>40</v>
      </c>
      <c r="DK12" s="148"/>
      <c r="DL12" s="148"/>
      <c r="DM12" s="148"/>
      <c r="DN12" s="42"/>
      <c r="DO12" s="145" t="s">
        <v>41</v>
      </c>
      <c r="DP12" s="145"/>
      <c r="DQ12" s="145"/>
      <c r="DR12" s="87">
        <v>1</v>
      </c>
      <c r="DS12" s="98"/>
      <c r="DT12" s="106"/>
      <c r="DU12" s="109"/>
      <c r="DV12" s="109"/>
      <c r="DW12" s="109"/>
      <c r="DX12" s="109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</row>
    <row r="13" spans="1:252" s="21" customFormat="1" ht="16.5" customHeight="1">
      <c r="A13" s="150" t="s">
        <v>42</v>
      </c>
      <c r="B13" s="139" t="s">
        <v>66</v>
      </c>
      <c r="C13" s="139" t="s">
        <v>65</v>
      </c>
      <c r="D13" s="150" t="s">
        <v>43</v>
      </c>
      <c r="E13" s="141" t="s">
        <v>44</v>
      </c>
      <c r="F13" s="152"/>
      <c r="G13" s="152"/>
      <c r="H13" s="152"/>
      <c r="I13" s="152"/>
      <c r="J13" s="136"/>
      <c r="K13" s="135"/>
      <c r="L13" s="134"/>
      <c r="M13" s="134"/>
      <c r="N13" s="135"/>
      <c r="O13" s="135"/>
      <c r="P13" s="134"/>
      <c r="Q13" s="134"/>
      <c r="R13" s="135"/>
      <c r="S13" s="135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  <c r="AE13" s="134"/>
      <c r="AF13" s="134"/>
      <c r="AG13" s="134"/>
      <c r="AH13" s="134"/>
      <c r="AI13" s="134"/>
      <c r="AJ13" s="134"/>
      <c r="AK13" s="134"/>
      <c r="AL13" s="134"/>
      <c r="AM13" s="134"/>
      <c r="AN13" s="134" t="s">
        <v>84</v>
      </c>
      <c r="AO13" s="134"/>
      <c r="AP13" s="134"/>
      <c r="AQ13" s="134"/>
      <c r="AR13" s="134"/>
      <c r="AS13" s="134"/>
      <c r="AT13" s="134"/>
      <c r="AU13" s="134"/>
      <c r="AV13" s="134"/>
      <c r="AW13" s="134"/>
      <c r="AX13" s="134">
        <v>41</v>
      </c>
      <c r="AY13" s="134">
        <v>42</v>
      </c>
      <c r="AZ13" s="134">
        <v>43</v>
      </c>
      <c r="BA13" s="134">
        <v>44</v>
      </c>
      <c r="BB13" s="134">
        <v>45</v>
      </c>
      <c r="BC13" s="134">
        <v>46</v>
      </c>
      <c r="BD13" s="134">
        <v>47</v>
      </c>
      <c r="BE13" s="134">
        <v>48</v>
      </c>
      <c r="BF13" s="134">
        <v>49</v>
      </c>
      <c r="BG13" s="134">
        <v>50</v>
      </c>
      <c r="BH13" s="134">
        <v>51</v>
      </c>
      <c r="BI13" s="134">
        <v>52</v>
      </c>
      <c r="BJ13" s="134">
        <v>53</v>
      </c>
      <c r="BK13" s="134">
        <v>54</v>
      </c>
      <c r="BL13" s="134">
        <v>55</v>
      </c>
      <c r="BM13" s="134">
        <v>56</v>
      </c>
      <c r="BN13" s="134">
        <v>57</v>
      </c>
      <c r="BO13" s="134">
        <v>58</v>
      </c>
      <c r="BP13" s="134">
        <v>59</v>
      </c>
      <c r="BQ13" s="134">
        <v>60</v>
      </c>
      <c r="BR13" s="134">
        <v>61</v>
      </c>
      <c r="BS13" s="134">
        <v>62</v>
      </c>
      <c r="BT13" s="134">
        <v>63</v>
      </c>
      <c r="BU13" s="134">
        <v>64</v>
      </c>
      <c r="BV13" s="134">
        <v>65</v>
      </c>
      <c r="BW13" s="134">
        <v>66</v>
      </c>
      <c r="BX13" s="134">
        <v>67</v>
      </c>
      <c r="BY13" s="134">
        <v>68</v>
      </c>
      <c r="BZ13" s="134">
        <v>69</v>
      </c>
      <c r="CA13" s="134">
        <v>70</v>
      </c>
      <c r="CB13" s="134">
        <v>71</v>
      </c>
      <c r="CC13" s="134">
        <v>72</v>
      </c>
      <c r="CD13" s="134">
        <v>73</v>
      </c>
      <c r="CE13" s="134">
        <v>74</v>
      </c>
      <c r="CF13" s="134">
        <v>75</v>
      </c>
      <c r="CG13" s="134">
        <v>76</v>
      </c>
      <c r="CH13" s="134">
        <v>77</v>
      </c>
      <c r="CI13" s="134">
        <v>78</v>
      </c>
      <c r="CJ13" s="134">
        <v>79</v>
      </c>
      <c r="CK13" s="134">
        <v>80</v>
      </c>
      <c r="CL13" s="134">
        <v>81</v>
      </c>
      <c r="CM13" s="134">
        <v>82</v>
      </c>
      <c r="CN13" s="134">
        <v>83</v>
      </c>
      <c r="CO13" s="134">
        <v>84</v>
      </c>
      <c r="CP13" s="134">
        <v>85</v>
      </c>
      <c r="CQ13" s="134">
        <v>86</v>
      </c>
      <c r="CR13" s="134">
        <v>87</v>
      </c>
      <c r="CS13" s="134">
        <v>88</v>
      </c>
      <c r="CT13" s="134">
        <v>89</v>
      </c>
      <c r="CU13" s="134">
        <v>90</v>
      </c>
      <c r="CV13" s="134">
        <v>91</v>
      </c>
      <c r="CW13" s="134">
        <v>92</v>
      </c>
      <c r="CX13" s="134">
        <v>93</v>
      </c>
      <c r="CY13" s="134">
        <v>94</v>
      </c>
      <c r="CZ13" s="134">
        <v>95</v>
      </c>
      <c r="DA13" s="134">
        <v>96</v>
      </c>
      <c r="DB13" s="134">
        <v>97</v>
      </c>
      <c r="DC13" s="134">
        <v>98</v>
      </c>
      <c r="DD13" s="134">
        <v>99</v>
      </c>
      <c r="DE13" s="134">
        <v>100</v>
      </c>
      <c r="DF13" s="142" t="s">
        <v>45</v>
      </c>
      <c r="DG13" s="167" t="s">
        <v>68</v>
      </c>
      <c r="DH13" s="167" t="s">
        <v>69</v>
      </c>
      <c r="DI13" s="43" t="s">
        <v>46</v>
      </c>
      <c r="DJ13" s="139" t="s">
        <v>47</v>
      </c>
      <c r="DK13" s="141" t="s">
        <v>48</v>
      </c>
      <c r="DL13" s="141" t="s">
        <v>49</v>
      </c>
      <c r="DM13" s="142" t="s">
        <v>50</v>
      </c>
      <c r="DN13" s="148" t="s">
        <v>51</v>
      </c>
      <c r="DO13" s="143" t="s">
        <v>52</v>
      </c>
      <c r="DP13" s="145" t="s">
        <v>53</v>
      </c>
      <c r="DQ13" s="145"/>
      <c r="DR13" s="111"/>
      <c r="DS13" s="98"/>
      <c r="DT13" s="98"/>
      <c r="DU13" s="112"/>
      <c r="DV13" s="112"/>
      <c r="DW13" s="112"/>
      <c r="DX13" s="112"/>
      <c r="DY13" s="113"/>
      <c r="DZ13" s="113"/>
      <c r="EA13" s="113"/>
      <c r="EB13" s="114"/>
      <c r="EC13" s="114"/>
      <c r="ED13" s="114"/>
      <c r="EE13" s="114"/>
      <c r="EF13" s="114"/>
      <c r="EG13" s="114"/>
      <c r="EH13" s="114"/>
      <c r="EI13" s="114"/>
      <c r="EJ13" s="20"/>
      <c r="EK13" s="20"/>
      <c r="EL13" s="20"/>
      <c r="EM13" s="20"/>
      <c r="EN13" s="20"/>
      <c r="EO13" s="20"/>
      <c r="EP13" s="20"/>
      <c r="EQ13" s="20"/>
      <c r="ER13" s="20"/>
      <c r="ES13" s="20"/>
      <c r="ET13" s="20"/>
      <c r="EU13" s="20"/>
      <c r="EV13" s="20"/>
      <c r="EW13" s="20"/>
      <c r="EX13" s="20"/>
      <c r="EY13" s="20"/>
      <c r="EZ13" s="20"/>
      <c r="FA13" s="20"/>
      <c r="FB13" s="20"/>
      <c r="FC13" s="20"/>
      <c r="FD13" s="20"/>
      <c r="FE13" s="20"/>
      <c r="FF13" s="20"/>
      <c r="FG13" s="20"/>
      <c r="FH13" s="20"/>
      <c r="FI13" s="20"/>
      <c r="FJ13" s="20"/>
      <c r="FK13" s="20"/>
      <c r="FL13" s="20"/>
      <c r="FM13" s="20"/>
      <c r="FN13" s="20"/>
      <c r="FO13" s="20"/>
      <c r="FP13" s="20"/>
      <c r="FQ13" s="20"/>
      <c r="FR13" s="20"/>
      <c r="FS13" s="20"/>
      <c r="FT13" s="20"/>
      <c r="FU13" s="20"/>
      <c r="FV13" s="20"/>
      <c r="FW13" s="20"/>
      <c r="FX13" s="20"/>
      <c r="FY13" s="20"/>
      <c r="FZ13" s="20"/>
      <c r="GA13" s="20"/>
      <c r="GB13" s="20"/>
      <c r="GC13" s="20"/>
      <c r="GD13" s="20"/>
      <c r="GE13" s="20"/>
      <c r="GF13" s="20"/>
      <c r="GG13" s="20"/>
      <c r="GH13" s="20"/>
      <c r="GI13" s="20"/>
      <c r="GJ13" s="20"/>
      <c r="GK13" s="20"/>
      <c r="GL13" s="20"/>
      <c r="GM13" s="20"/>
      <c r="GN13" s="20"/>
      <c r="GO13" s="20"/>
      <c r="GP13" s="20"/>
      <c r="GQ13" s="20"/>
      <c r="GR13" s="20"/>
      <c r="GS13" s="20"/>
      <c r="GT13" s="20"/>
      <c r="GU13" s="20"/>
      <c r="GV13" s="20"/>
      <c r="GW13" s="20"/>
      <c r="GX13" s="20"/>
      <c r="GY13" s="20"/>
      <c r="GZ13" s="20"/>
      <c r="HA13" s="20"/>
      <c r="HB13" s="20"/>
      <c r="HC13" s="20"/>
      <c r="HD13" s="20"/>
      <c r="HE13" s="20"/>
      <c r="HF13" s="20"/>
      <c r="HG13" s="20"/>
      <c r="HH13" s="20"/>
      <c r="HI13" s="20"/>
      <c r="HJ13" s="20"/>
      <c r="HK13" s="20"/>
      <c r="HL13" s="20"/>
      <c r="HM13" s="20"/>
      <c r="HN13" s="20"/>
      <c r="HO13" s="20"/>
      <c r="HP13" s="20"/>
      <c r="HQ13" s="20"/>
      <c r="HR13" s="20"/>
      <c r="HS13" s="20"/>
      <c r="HT13" s="20"/>
      <c r="HU13" s="20"/>
      <c r="HV13" s="20"/>
      <c r="HW13" s="20"/>
      <c r="HX13" s="20"/>
      <c r="HY13" s="20"/>
      <c r="HZ13" s="20"/>
      <c r="IA13" s="20"/>
    </row>
    <row r="14" spans="1:252" s="21" customFormat="1" ht="16.5" customHeight="1">
      <c r="A14" s="150"/>
      <c r="B14" s="151"/>
      <c r="C14" s="139"/>
      <c r="D14" s="150"/>
      <c r="E14" s="43" t="s">
        <v>54</v>
      </c>
      <c r="F14" s="43" t="s">
        <v>55</v>
      </c>
      <c r="G14" s="43" t="s">
        <v>56</v>
      </c>
      <c r="H14" s="44" t="s">
        <v>57</v>
      </c>
      <c r="I14" s="44" t="s">
        <v>58</v>
      </c>
      <c r="J14" s="134">
        <v>1.1000000000000001</v>
      </c>
      <c r="K14" s="134">
        <v>1.1000000000000001</v>
      </c>
      <c r="L14" s="134">
        <v>1.1000000000000001</v>
      </c>
      <c r="M14" s="134">
        <v>1.2</v>
      </c>
      <c r="N14" s="134">
        <v>1.2</v>
      </c>
      <c r="O14" s="134">
        <v>1.2</v>
      </c>
      <c r="P14" s="134">
        <v>2.1</v>
      </c>
      <c r="Q14" s="134">
        <v>2.1</v>
      </c>
      <c r="R14" s="134">
        <v>2.1</v>
      </c>
      <c r="S14" s="134">
        <v>2.2000000000000002</v>
      </c>
      <c r="T14" s="134">
        <v>2.2000000000000002</v>
      </c>
      <c r="U14" s="134">
        <v>2.2000000000000002</v>
      </c>
      <c r="V14" s="134">
        <v>3.1</v>
      </c>
      <c r="W14" s="134">
        <v>3.1</v>
      </c>
      <c r="X14" s="134">
        <v>3.1</v>
      </c>
      <c r="Y14" s="134">
        <v>3.2</v>
      </c>
      <c r="Z14" s="134">
        <v>3.2</v>
      </c>
      <c r="AA14" s="134">
        <v>3.2</v>
      </c>
      <c r="AB14" s="134">
        <v>1.1000000000000001</v>
      </c>
      <c r="AC14" s="134"/>
      <c r="AD14" s="134"/>
      <c r="AE14" s="134"/>
      <c r="AF14" s="134">
        <v>23</v>
      </c>
      <c r="AG14" s="134">
        <v>24</v>
      </c>
      <c r="AH14" s="134">
        <v>25</v>
      </c>
      <c r="AI14" s="134">
        <v>26</v>
      </c>
      <c r="AJ14" s="134">
        <v>27</v>
      </c>
      <c r="AK14" s="134">
        <v>28</v>
      </c>
      <c r="AL14" s="134">
        <v>29</v>
      </c>
      <c r="AM14" s="134">
        <v>30</v>
      </c>
      <c r="AN14" s="134">
        <v>31</v>
      </c>
      <c r="AO14" s="134">
        <v>32</v>
      </c>
      <c r="AP14" s="134">
        <v>33</v>
      </c>
      <c r="AQ14" s="134">
        <v>34</v>
      </c>
      <c r="AR14" s="134">
        <v>35</v>
      </c>
      <c r="AS14" s="134">
        <v>36</v>
      </c>
      <c r="AT14" s="134">
        <v>37</v>
      </c>
      <c r="AU14" s="134">
        <v>38</v>
      </c>
      <c r="AV14" s="134">
        <v>39</v>
      </c>
      <c r="AW14" s="134">
        <v>40</v>
      </c>
      <c r="AX14" s="134">
        <v>3</v>
      </c>
      <c r="AY14" s="134">
        <v>3</v>
      </c>
      <c r="AZ14" s="134">
        <v>3</v>
      </c>
      <c r="BA14" s="134">
        <v>3</v>
      </c>
      <c r="BB14" s="134">
        <v>3</v>
      </c>
      <c r="BC14" s="134">
        <v>3</v>
      </c>
      <c r="BD14" s="134">
        <v>3</v>
      </c>
      <c r="BE14" s="134">
        <v>3</v>
      </c>
      <c r="BF14" s="134">
        <v>3</v>
      </c>
      <c r="BG14" s="134">
        <v>3</v>
      </c>
      <c r="BH14" s="134">
        <v>3</v>
      </c>
      <c r="BI14" s="134">
        <v>3</v>
      </c>
      <c r="BJ14" s="134">
        <v>3</v>
      </c>
      <c r="BK14" s="134">
        <v>3</v>
      </c>
      <c r="BL14" s="134">
        <v>3</v>
      </c>
      <c r="BM14" s="134">
        <v>3</v>
      </c>
      <c r="BN14" s="134">
        <v>3</v>
      </c>
      <c r="BO14" s="134">
        <v>3</v>
      </c>
      <c r="BP14" s="134">
        <v>3</v>
      </c>
      <c r="BQ14" s="134">
        <v>3</v>
      </c>
      <c r="BR14" s="134">
        <v>3</v>
      </c>
      <c r="BS14" s="134">
        <v>3</v>
      </c>
      <c r="BT14" s="134">
        <v>3</v>
      </c>
      <c r="BU14" s="134">
        <v>3</v>
      </c>
      <c r="BV14" s="134">
        <v>3</v>
      </c>
      <c r="BW14" s="134">
        <v>3</v>
      </c>
      <c r="BX14" s="134">
        <v>3</v>
      </c>
      <c r="BY14" s="134">
        <v>3</v>
      </c>
      <c r="BZ14" s="134">
        <v>3</v>
      </c>
      <c r="CA14" s="134">
        <v>3</v>
      </c>
      <c r="CB14" s="134">
        <v>3</v>
      </c>
      <c r="CC14" s="134">
        <v>3</v>
      </c>
      <c r="CD14" s="134">
        <v>3</v>
      </c>
      <c r="CE14" s="134">
        <v>3</v>
      </c>
      <c r="CF14" s="134">
        <v>3</v>
      </c>
      <c r="CG14" s="134">
        <v>3</v>
      </c>
      <c r="CH14" s="134">
        <v>3</v>
      </c>
      <c r="CI14" s="134">
        <v>3</v>
      </c>
      <c r="CJ14" s="134">
        <v>3</v>
      </c>
      <c r="CK14" s="134">
        <v>3</v>
      </c>
      <c r="CL14" s="134">
        <v>3</v>
      </c>
      <c r="CM14" s="134">
        <v>3</v>
      </c>
      <c r="CN14" s="134">
        <v>3</v>
      </c>
      <c r="CO14" s="134">
        <v>3</v>
      </c>
      <c r="CP14" s="134">
        <v>3</v>
      </c>
      <c r="CQ14" s="134">
        <v>3</v>
      </c>
      <c r="CR14" s="134">
        <v>3</v>
      </c>
      <c r="CS14" s="134">
        <v>3</v>
      </c>
      <c r="CT14" s="134">
        <v>3</v>
      </c>
      <c r="CU14" s="134">
        <v>3</v>
      </c>
      <c r="CV14" s="134">
        <v>3</v>
      </c>
      <c r="CW14" s="134">
        <v>3</v>
      </c>
      <c r="CX14" s="134">
        <v>3</v>
      </c>
      <c r="CY14" s="134">
        <v>3</v>
      </c>
      <c r="CZ14" s="134">
        <v>3</v>
      </c>
      <c r="DA14" s="134">
        <v>3</v>
      </c>
      <c r="DB14" s="134">
        <v>3</v>
      </c>
      <c r="DC14" s="134">
        <v>3</v>
      </c>
      <c r="DD14" s="134">
        <v>3</v>
      </c>
      <c r="DE14" s="134">
        <v>3</v>
      </c>
      <c r="DF14" s="166"/>
      <c r="DG14" s="168"/>
      <c r="DH14" s="168"/>
      <c r="DI14" s="43" t="s">
        <v>13</v>
      </c>
      <c r="DJ14" s="140"/>
      <c r="DK14" s="141"/>
      <c r="DL14" s="141"/>
      <c r="DM14" s="141"/>
      <c r="DN14" s="149"/>
      <c r="DO14" s="144"/>
      <c r="DP14" s="145"/>
      <c r="DQ14" s="145"/>
      <c r="DR14" s="111">
        <f>LOOKUP(2,1/(DR15:DR65523&lt;&gt;""),ROW(DR15:DR65523))</f>
        <v>27</v>
      </c>
      <c r="DS14" s="115" t="s">
        <v>73</v>
      </c>
      <c r="DT14" s="116" t="s">
        <v>74</v>
      </c>
      <c r="DU14" s="116" t="s">
        <v>59</v>
      </c>
      <c r="DV14" s="116" t="s">
        <v>60</v>
      </c>
      <c r="DW14" s="116" t="s">
        <v>75</v>
      </c>
      <c r="DX14" s="116" t="s">
        <v>76</v>
      </c>
      <c r="DY14" s="117" t="s">
        <v>77</v>
      </c>
      <c r="DZ14" s="117" t="s">
        <v>78</v>
      </c>
      <c r="EA14" s="117" t="s">
        <v>61</v>
      </c>
      <c r="EB14" s="117" t="s">
        <v>62</v>
      </c>
      <c r="EC14" s="116" t="s">
        <v>79</v>
      </c>
      <c r="ED14" s="116" t="s">
        <v>80</v>
      </c>
      <c r="EE14" s="116" t="s">
        <v>70</v>
      </c>
      <c r="EF14" s="118"/>
      <c r="EG14" s="114"/>
      <c r="EH14" s="114"/>
      <c r="EI14" s="114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20"/>
      <c r="FM14" s="20"/>
      <c r="FN14" s="20"/>
      <c r="FO14" s="20"/>
      <c r="FP14" s="20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O14" s="20"/>
      <c r="GP14" s="20"/>
      <c r="GQ14" s="20"/>
      <c r="GR14" s="20"/>
      <c r="GS14" s="20"/>
      <c r="GT14" s="20"/>
      <c r="GU14" s="20"/>
      <c r="GV14" s="20"/>
      <c r="GW14" s="20"/>
      <c r="GX14" s="20"/>
      <c r="GY14" s="20"/>
      <c r="GZ14" s="20"/>
      <c r="HA14" s="20"/>
      <c r="HB14" s="20"/>
      <c r="HC14" s="20"/>
      <c r="HD14" s="20"/>
      <c r="HE14" s="20"/>
      <c r="HF14" s="20"/>
      <c r="HG14" s="20"/>
      <c r="HH14" s="20"/>
      <c r="HI14" s="20"/>
      <c r="HJ14" s="20"/>
      <c r="HK14" s="20"/>
      <c r="HL14" s="20"/>
      <c r="HM14" s="20"/>
      <c r="HN14" s="20"/>
      <c r="HO14" s="20"/>
      <c r="HP14" s="20"/>
      <c r="HQ14" s="20"/>
      <c r="HR14" s="20"/>
      <c r="HS14" s="20"/>
      <c r="HT14" s="20"/>
      <c r="HU14" s="20"/>
      <c r="HV14" s="20"/>
      <c r="HW14" s="20"/>
      <c r="HX14" s="20"/>
      <c r="HY14" s="20"/>
      <c r="HZ14" s="20"/>
      <c r="IA14" s="20"/>
    </row>
    <row r="15" spans="1:252" s="21" customFormat="1" ht="16.5" customHeight="1">
      <c r="A15" s="45">
        <v>1</v>
      </c>
      <c r="B15" s="45" t="s">
        <v>95</v>
      </c>
      <c r="C15" s="45"/>
      <c r="D15" s="46" t="s">
        <v>85</v>
      </c>
      <c r="E15" s="47">
        <v>3.5</v>
      </c>
      <c r="F15" s="47">
        <v>0.08</v>
      </c>
      <c r="G15" s="47">
        <v>-0.08</v>
      </c>
      <c r="H15" s="48">
        <f>IF(OR(E15="",F15="",G15=""),"",IF(AND(E15="\",G15="\"),F15,IF(AND(E15="\",F15="\"),"",E15+F15)))</f>
        <v>3.58</v>
      </c>
      <c r="I15" s="48">
        <f>IF(OR(E15="",F15="",G15=""),"",IF(AND(E15="\",G15="\"),"",IF(AND(E15="\",F15="\"),G15,IF(AND(E15=0,G15="\"),0,E15+G15))))</f>
        <v>3.42</v>
      </c>
      <c r="J15" s="47">
        <v>3.4964</v>
      </c>
      <c r="K15" s="47">
        <v>3.4967999999999999</v>
      </c>
      <c r="L15" s="47">
        <v>3.4973000000000001</v>
      </c>
      <c r="M15" s="47">
        <v>3.4975999999999998</v>
      </c>
      <c r="N15" s="47">
        <v>3.4948999999999999</v>
      </c>
      <c r="O15" s="47">
        <v>3.4969999999999999</v>
      </c>
      <c r="P15" s="47">
        <v>3.5062000000000002</v>
      </c>
      <c r="Q15" s="47">
        <v>3.4992000000000001</v>
      </c>
      <c r="R15" s="47">
        <v>3.5043000000000002</v>
      </c>
      <c r="S15" s="47">
        <v>3.4832999999999998</v>
      </c>
      <c r="T15" s="47">
        <v>3.4843999999999999</v>
      </c>
      <c r="U15" s="47">
        <v>3.4761000000000002</v>
      </c>
      <c r="V15" s="47">
        <v>3.4952000000000001</v>
      </c>
      <c r="W15" s="47">
        <v>3.4990999999999999</v>
      </c>
      <c r="X15" s="47">
        <v>3.4954000000000001</v>
      </c>
      <c r="Y15" s="47">
        <v>3.4998999999999998</v>
      </c>
      <c r="Z15" s="47">
        <v>3.4958999999999998</v>
      </c>
      <c r="AA15" s="47">
        <v>3.4984999999999999</v>
      </c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9">
        <f ca="1">IF(J15="","",AVERAGE(INDIRECT(ADDRESS(ROW(J15),COLUMN(J15))&amp;":"&amp;ADDRESS(ROW(J15),9+$F$11))))</f>
        <v>3.495416666666666</v>
      </c>
      <c r="DG15" s="86" t="str">
        <f ca="1">IF(AND(H15="",I15=""),"",IF($DR$12=1,DS15,DY15))</f>
        <v/>
      </c>
      <c r="DH15" s="127" t="str">
        <f ca="1">IF(AND(H15="",I15=""),"",IF($DR$12=1,DT15,DZ15))</f>
        <v/>
      </c>
      <c r="DI15" s="50" t="str">
        <f ca="1">IF(DF15="","",IF(AND(DG15="",DH15=""),"OK","NG"))</f>
        <v>OK</v>
      </c>
      <c r="DJ15" s="51" t="str">
        <f ca="1">IF(OR(J15="",K15="",DI15=""),"",IF(ISNUMBER(FIND("CPK",$F$8)),STDEV(INDIRECT(ADDRESS(ROW(J15),COLUMN(J15))&amp;":"&amp;ADDRESS(ROW(J15),9+$F$11))),""))</f>
        <v/>
      </c>
      <c r="DK15" s="52" t="str">
        <f t="shared" ref="DK15:DK16" ca="1" si="0">IF(DJ15="","",IF(G15="\",DU15,IF(F15="\",DV15,(H15-I15)/(6*DJ15))))</f>
        <v/>
      </c>
      <c r="DL15" s="52" t="str">
        <f ca="1">IF(DK15="","",IF(G15="\",DU15,IF(F15="\",DV15,MIN(DU15,DV15))))</f>
        <v/>
      </c>
      <c r="DM15" s="84" t="str">
        <f ca="1">IF(DK15="","",IF(H15="","",IF(I15="","",DF15-(H15+I15)/2)))</f>
        <v/>
      </c>
      <c r="DN15" s="133" t="s">
        <v>87</v>
      </c>
      <c r="DO15" s="80"/>
      <c r="DP15" s="146"/>
      <c r="DQ15" s="147"/>
      <c r="DR15" s="119">
        <v>1</v>
      </c>
      <c r="DS15" s="120" t="str">
        <f ca="1">IF(DF15="","",IF(H15="","",IF(EA15&gt;H15,(EA15-H15)/EE15,"")))</f>
        <v/>
      </c>
      <c r="DT15" s="120" t="str">
        <f ca="1">IF(DF15="","",IF(I15="","",IF(EB15&lt;I15,(EB15-I15)/EE15,"")))</f>
        <v/>
      </c>
      <c r="DU15" s="120" t="e">
        <f ca="1">IF(H15="","",(H15-DF15)/3/DJ15)</f>
        <v>#VALUE!</v>
      </c>
      <c r="DV15" s="120" t="e">
        <f ca="1">IF(I15="","",(DF15-I15)/3/DJ15)</f>
        <v>#VALUE!</v>
      </c>
      <c r="DW15" s="120">
        <f>IF(H15="","",IF(I15="",H15*0.8,IF(AND(H15&lt;&gt;"",I15&lt;&gt;""),(H15+I15)/2)+(H15-I15)/2.5))</f>
        <v>3.5640000000000001</v>
      </c>
      <c r="DX15" s="120">
        <f>IF(I15="","",IF(H15="",I15*1.2,IF(I15="","",IF(AND(H15&lt;&gt;"",I15&lt;&gt;""),(H15+I15)/2)-(H15-I15)/2.5)))</f>
        <v>3.4359999999999999</v>
      </c>
      <c r="DY15" s="121" t="str">
        <f ca="1">IF(DF15="","",IF(H15="","",IF(EA15&gt;H15,EA15-H15,"")))</f>
        <v/>
      </c>
      <c r="DZ15" s="121" t="str">
        <f ca="1">IF(DF15="","",IF(I15="","",IF(EB15&lt;I15,EB15-I15,"")))</f>
        <v/>
      </c>
      <c r="EA15" s="121">
        <f ca="1">MAX(INDIRECT(ADDRESS(ROW(J15),COLUMN(J15))&amp;":"&amp;ADDRESS(ROW(J15),9+$F$11)))</f>
        <v>3.5062000000000002</v>
      </c>
      <c r="EB15" s="117">
        <f ca="1">MIN(INDIRECT(ADDRESS(ROW(J15),COLUMN(J15))&amp;":"&amp;ADDRESS(ROW(J15),9+$F$11)))</f>
        <v>3.4761000000000002</v>
      </c>
      <c r="EC15" s="122">
        <f>IF(AND(H15="",I15=""),"",IF(H15="",99999,H15))</f>
        <v>3.58</v>
      </c>
      <c r="ED15" s="122">
        <f>IF(AND(H15="",I15=""),"",IF(I15="",-99999,I15))</f>
        <v>3.42</v>
      </c>
      <c r="EE15" s="122">
        <f>ABS(IF(H15="",I15,IF(I15="",H15,H15-I15)))</f>
        <v>0.16000000000000014</v>
      </c>
      <c r="EF15" s="118"/>
      <c r="EG15" s="114"/>
      <c r="EH15" s="114"/>
      <c r="EI15" s="114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0"/>
      <c r="EU15" s="20"/>
      <c r="EV15" s="20"/>
      <c r="EW15" s="20"/>
      <c r="EX15" s="20"/>
      <c r="EY15" s="20"/>
      <c r="EZ15" s="20"/>
      <c r="FA15" s="20"/>
      <c r="FB15" s="20"/>
      <c r="FC15" s="20"/>
      <c r="FD15" s="20"/>
      <c r="FE15" s="20"/>
      <c r="FF15" s="20"/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  <c r="FS15" s="20"/>
      <c r="FT15" s="20"/>
      <c r="FU15" s="20"/>
      <c r="FV15" s="20"/>
      <c r="FW15" s="20"/>
      <c r="FX15" s="20"/>
      <c r="FY15" s="20"/>
      <c r="FZ15" s="20"/>
      <c r="GA15" s="20"/>
      <c r="GB15" s="20"/>
      <c r="GC15" s="20"/>
      <c r="GD15" s="20"/>
      <c r="GE15" s="20"/>
      <c r="GF15" s="20"/>
      <c r="GG15" s="20"/>
      <c r="GH15" s="20"/>
      <c r="GI15" s="20"/>
      <c r="GJ15" s="20"/>
      <c r="GK15" s="20"/>
      <c r="GL15" s="20"/>
      <c r="GM15" s="20"/>
      <c r="GN15" s="20"/>
      <c r="GO15" s="20"/>
      <c r="GP15" s="20"/>
      <c r="GQ15" s="20"/>
      <c r="GR15" s="20"/>
      <c r="GS15" s="20"/>
      <c r="GT15" s="20"/>
      <c r="GU15" s="20"/>
      <c r="GV15" s="20"/>
      <c r="GW15" s="20"/>
      <c r="GX15" s="20"/>
      <c r="GY15" s="20"/>
      <c r="GZ15" s="20"/>
      <c r="HA15" s="20"/>
      <c r="HB15" s="20"/>
      <c r="HC15" s="20"/>
      <c r="HD15" s="20"/>
      <c r="HE15" s="20"/>
      <c r="HF15" s="20"/>
      <c r="HG15" s="20"/>
      <c r="HH15" s="20"/>
      <c r="HI15" s="20"/>
      <c r="HJ15" s="20"/>
      <c r="HK15" s="20"/>
      <c r="HL15" s="20"/>
      <c r="HM15" s="20"/>
      <c r="HN15" s="20"/>
      <c r="HO15" s="20"/>
      <c r="HP15" s="20"/>
      <c r="HQ15" s="20"/>
      <c r="HR15" s="20"/>
      <c r="HS15" s="20"/>
      <c r="HT15" s="20"/>
      <c r="HU15" s="20"/>
      <c r="HV15" s="20"/>
      <c r="HW15" s="20"/>
      <c r="HX15" s="20"/>
      <c r="HY15" s="20"/>
      <c r="HZ15" s="20"/>
      <c r="IA15" s="20"/>
    </row>
    <row r="16" spans="1:252" s="21" customFormat="1" ht="16.5" customHeight="1">
      <c r="A16" s="45">
        <v>2</v>
      </c>
      <c r="B16" s="45" t="s">
        <v>96</v>
      </c>
      <c r="C16" s="45"/>
      <c r="D16" s="46" t="s">
        <v>85</v>
      </c>
      <c r="E16" s="47">
        <v>3.5</v>
      </c>
      <c r="F16" s="47">
        <v>0.08</v>
      </c>
      <c r="G16" s="47">
        <v>-0.08</v>
      </c>
      <c r="H16" s="48">
        <f t="shared" ref="H16" si="1">IF(OR(E16="",F16="",G16=""),"",IF(AND(E16="\",G16="\"),F16,IF(AND(E16="\",F16="\"),"",E16+F16)))</f>
        <v>3.58</v>
      </c>
      <c r="I16" s="48">
        <f t="shared" ref="I16" si="2">IF(OR(E16="",F16="",G16=""),"",IF(AND(E16="\",G16="\"),"",IF(AND(E16="\",F16="\"),G16,IF(AND(E16=0,G16="\"),0,E16+G16))))</f>
        <v>3.42</v>
      </c>
      <c r="J16" s="47">
        <v>3.4437000000000002</v>
      </c>
      <c r="K16" s="47">
        <v>3.4415</v>
      </c>
      <c r="L16" s="47">
        <v>3.4424999999999999</v>
      </c>
      <c r="M16" s="47">
        <v>3.4942000000000002</v>
      </c>
      <c r="N16" s="47">
        <v>3.4973000000000001</v>
      </c>
      <c r="O16" s="47">
        <v>3.4961000000000002</v>
      </c>
      <c r="P16" s="47">
        <v>3.4287000000000001</v>
      </c>
      <c r="Q16" s="47">
        <v>3.4331999999999998</v>
      </c>
      <c r="R16" s="47">
        <v>3.4337</v>
      </c>
      <c r="S16" s="47">
        <v>3.5062000000000002</v>
      </c>
      <c r="T16" s="47">
        <v>3.5072999999999999</v>
      </c>
      <c r="U16" s="47">
        <v>3.5078999999999998</v>
      </c>
      <c r="V16" s="47">
        <v>3.4769999999999999</v>
      </c>
      <c r="W16" s="47">
        <v>3.4769999999999999</v>
      </c>
      <c r="X16" s="47">
        <v>3.4721000000000002</v>
      </c>
      <c r="Y16" s="47">
        <v>3.488</v>
      </c>
      <c r="Z16" s="47">
        <v>3.4906000000000001</v>
      </c>
      <c r="AA16" s="47">
        <v>3.4828999999999999</v>
      </c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9">
        <f t="shared" ref="DF16" ca="1" si="3">IF(J16="","",AVERAGE(INDIRECT(ADDRESS(ROW(J16),COLUMN(J16))&amp;":"&amp;ADDRESS(ROW(J16),9+$F$11))))</f>
        <v>3.4733277777777776</v>
      </c>
      <c r="DG16" s="86" t="str">
        <f t="shared" ref="DG16" ca="1" si="4">IF(AND(H16="",I16=""),"",IF($DR$12=1,DS16,DY16))</f>
        <v/>
      </c>
      <c r="DH16" s="127" t="str">
        <f t="shared" ref="DH16" ca="1" si="5">IF(AND(H16="",I16=""),"",IF($DR$12=1,DT16,DZ16))</f>
        <v/>
      </c>
      <c r="DI16" s="50" t="str">
        <f t="shared" ref="DI16:DI24" ca="1" si="6">IF(DF16="","",IF(AND(DG16="",DH16=""),"OK","NG"))</f>
        <v>OK</v>
      </c>
      <c r="DJ16" s="51" t="str">
        <f t="shared" ref="DJ16:DJ24" ca="1" si="7">IF(OR(J16="",K16="",DI16=""),"",IF(ISNUMBER(FIND("CPK",$F$8)),STDEV(INDIRECT(ADDRESS(ROW(J16),COLUMN(J16))&amp;":"&amp;ADDRESS(ROW(J16),9+$F$11))),""))</f>
        <v/>
      </c>
      <c r="DK16" s="52" t="str">
        <f t="shared" ca="1" si="0"/>
        <v/>
      </c>
      <c r="DL16" s="52" t="str">
        <f t="shared" ref="DL16" ca="1" si="8">IF(DK16="","",IF(G16="\",DU16,IF(F16="\",DV16,MIN(DU16,DV16))))</f>
        <v/>
      </c>
      <c r="DM16" s="84" t="str">
        <f t="shared" ref="DM16" ca="1" si="9">IF(DK16="","",IF(H16="","",IF(I16="","",DF16-(H16+I16)/2)))</f>
        <v/>
      </c>
      <c r="DN16" s="45" t="s">
        <v>87</v>
      </c>
      <c r="DO16" s="81"/>
      <c r="DP16" s="137"/>
      <c r="DQ16" s="138"/>
      <c r="DR16" s="98">
        <f t="shared" ref="DR16" si="10">IF(A16="","",1)</f>
        <v>1</v>
      </c>
      <c r="DS16" s="120" t="str">
        <f t="shared" ref="DS16:DS24" ca="1" si="11">IF(DF16="","",IF(H16="","",IF(EA16&gt;H16,(EA16-H16)/EE16,"")))</f>
        <v/>
      </c>
      <c r="DT16" s="120" t="str">
        <f t="shared" ref="DT16:DT24" ca="1" si="12">IF(DF16="","",IF(I16="","",IF(EB16&lt;I16,(EB16-I16)/EE16,"")))</f>
        <v/>
      </c>
      <c r="DU16" s="120" t="e">
        <f t="shared" ref="DU16" ca="1" si="13">IF(H16="","",(H16-DF16)/3/DJ16)</f>
        <v>#VALUE!</v>
      </c>
      <c r="DV16" s="120" t="e">
        <f t="shared" ref="DV16" ca="1" si="14">IF(I16="","",(DF16-I16)/3/DJ16)</f>
        <v>#VALUE!</v>
      </c>
      <c r="DW16" s="120">
        <f t="shared" ref="DW16" si="15">IF(H16="","",IF(I16="",H16*0.8,IF(AND(H16&lt;&gt;"",I16&lt;&gt;""),(H16+I16)/2)+(H16-I16)/2.5))</f>
        <v>3.5640000000000001</v>
      </c>
      <c r="DX16" s="120">
        <f t="shared" ref="DX16" si="16">IF(I16="","",IF(H16="",I16*1.2,IF(I16="","",IF(AND(H16&lt;&gt;"",I16&lt;&gt;""),(H16+I16)/2)-(H16-I16)/2.5)))</f>
        <v>3.4359999999999999</v>
      </c>
      <c r="DY16" s="121" t="str">
        <f t="shared" ref="DY16:DY24" ca="1" si="17">IF(DF16="","",IF(H16="","",IF(EA16&gt;H16,EA16-H16,"")))</f>
        <v/>
      </c>
      <c r="DZ16" s="121" t="str">
        <f t="shared" ref="DZ16:DZ24" ca="1" si="18">IF(DF16="","",IF(I16="","",IF(EB16&lt;I16,EB16-I16,"")))</f>
        <v/>
      </c>
      <c r="EA16" s="121">
        <f t="shared" ref="EA16" ca="1" si="19">MAX(INDIRECT(ADDRESS(ROW(J16),COLUMN(J16))&amp;":"&amp;ADDRESS(ROW(J16),9+$F$11)))</f>
        <v>3.5078999999999998</v>
      </c>
      <c r="EB16" s="117">
        <f t="shared" ref="EB16" ca="1" si="20">MIN(INDIRECT(ADDRESS(ROW(J16),COLUMN(J16))&amp;":"&amp;ADDRESS(ROW(J16),9+$F$11)))</f>
        <v>3.4287000000000001</v>
      </c>
      <c r="EC16" s="122">
        <f t="shared" ref="EC16" si="21">IF(AND(H16="",I16=""),"",IF(H16="",99999,H16))</f>
        <v>3.58</v>
      </c>
      <c r="ED16" s="122">
        <f t="shared" ref="ED16" si="22">IF(AND(H16="",I16=""),"",IF(I16="",-99999,I16))</f>
        <v>3.42</v>
      </c>
      <c r="EE16" s="122">
        <f t="shared" ref="EE16:EE24" si="23">ABS(IF(H16="",I16,IF(I16="",H16,H16-I16)))</f>
        <v>0.16000000000000014</v>
      </c>
      <c r="EF16" s="118"/>
      <c r="EG16" s="114"/>
      <c r="EH16" s="114"/>
      <c r="EI16" s="114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</row>
    <row r="17" spans="1:235" s="21" customFormat="1" ht="16.5" customHeight="1">
      <c r="A17" s="45">
        <v>3</v>
      </c>
      <c r="B17" s="45" t="s">
        <v>97</v>
      </c>
      <c r="C17" s="45"/>
      <c r="D17" s="46" t="s">
        <v>85</v>
      </c>
      <c r="E17" s="47">
        <v>3.5</v>
      </c>
      <c r="F17" s="47">
        <v>0.08</v>
      </c>
      <c r="G17" s="47">
        <v>-0.08</v>
      </c>
      <c r="H17" s="48">
        <f t="shared" ref="H17" si="24">IF(OR(E17="",F17="",G17=""),"",IF(AND(E17="\",G17="\"),F17,IF(AND(E17="\",F17="\"),"",E17+F17)))</f>
        <v>3.58</v>
      </c>
      <c r="I17" s="48">
        <f t="shared" ref="I17" si="25">IF(OR(E17="",F17="",G17=""),"",IF(AND(E17="\",G17="\"),"",IF(AND(E17="\",F17="\"),G17,IF(AND(E17=0,G17="\"),0,E17+G17))))</f>
        <v>3.42</v>
      </c>
      <c r="J17" s="47">
        <v>3.4498000000000002</v>
      </c>
      <c r="K17" s="47">
        <v>3.4516</v>
      </c>
      <c r="L17" s="47">
        <v>3.4443999999999999</v>
      </c>
      <c r="M17" s="47">
        <v>3.4996999999999998</v>
      </c>
      <c r="N17" s="47">
        <v>3.4948000000000001</v>
      </c>
      <c r="O17" s="47">
        <v>3.5036999999999998</v>
      </c>
      <c r="P17" s="47">
        <v>3.4377</v>
      </c>
      <c r="Q17" s="47">
        <v>3.4460999999999999</v>
      </c>
      <c r="R17" s="47">
        <v>3.4337</v>
      </c>
      <c r="S17" s="47">
        <v>3.5106999999999999</v>
      </c>
      <c r="T17" s="47">
        <v>3.5167999999999999</v>
      </c>
      <c r="U17" s="47">
        <v>3.51</v>
      </c>
      <c r="V17" s="47">
        <v>3.4817</v>
      </c>
      <c r="W17" s="47">
        <v>3.4815999999999998</v>
      </c>
      <c r="X17" s="47">
        <v>3.4782999999999999</v>
      </c>
      <c r="Y17" s="47">
        <v>3.4918</v>
      </c>
      <c r="Z17" s="47">
        <v>3.4963000000000002</v>
      </c>
      <c r="AA17" s="47">
        <v>3.4878999999999998</v>
      </c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9">
        <f t="shared" ref="DF17" ca="1" si="26">IF(J17="","",AVERAGE(INDIRECT(ADDRESS(ROW(J17),COLUMN(J17))&amp;":"&amp;ADDRESS(ROW(J17),9+$F$11))))</f>
        <v>3.4786999999999995</v>
      </c>
      <c r="DG17" s="86" t="str">
        <f t="shared" ref="DG17" ca="1" si="27">IF(AND(H17="",I17=""),"",IF($DR$12=1,DS17,DY17))</f>
        <v/>
      </c>
      <c r="DH17" s="127" t="str">
        <f t="shared" ref="DH17" ca="1" si="28">IF(AND(H17="",I17=""),"",IF($DR$12=1,DT17,DZ17))</f>
        <v/>
      </c>
      <c r="DI17" s="50" t="str">
        <f t="shared" ca="1" si="6"/>
        <v>OK</v>
      </c>
      <c r="DJ17" s="51" t="str">
        <f t="shared" ca="1" si="7"/>
        <v/>
      </c>
      <c r="DK17" s="52" t="str">
        <f t="shared" ref="DK17" ca="1" si="29">IF(DJ17="","",IF(G17="\",DU17,IF(F17="\",DV17,(H17-I17)/(6*DJ17))))</f>
        <v/>
      </c>
      <c r="DL17" s="52" t="str">
        <f t="shared" ref="DL17" ca="1" si="30">IF(DK17="","",IF(G17="\",DU17,IF(F17="\",DV17,MIN(DU17,DV17))))</f>
        <v/>
      </c>
      <c r="DM17" s="84" t="str">
        <f t="shared" ref="DM17" ca="1" si="31">IF(DK17="","",IF(H17="","",IF(I17="","",DF17-(H17+I17)/2)))</f>
        <v/>
      </c>
      <c r="DN17" s="45" t="s">
        <v>87</v>
      </c>
      <c r="DO17" s="81"/>
      <c r="DP17" s="137"/>
      <c r="DQ17" s="138"/>
      <c r="DR17" s="98">
        <f t="shared" ref="DR17" si="32">IF(A17="","",1)</f>
        <v>1</v>
      </c>
      <c r="DS17" s="120" t="str">
        <f t="shared" ca="1" si="11"/>
        <v/>
      </c>
      <c r="DT17" s="120" t="str">
        <f t="shared" ca="1" si="12"/>
        <v/>
      </c>
      <c r="DU17" s="120" t="e">
        <f t="shared" ref="DU17" ca="1" si="33">IF(H17="","",(H17-DF17)/3/DJ17)</f>
        <v>#VALUE!</v>
      </c>
      <c r="DV17" s="120" t="e">
        <f t="shared" ref="DV17" ca="1" si="34">IF(I17="","",(DF17-I17)/3/DJ17)</f>
        <v>#VALUE!</v>
      </c>
      <c r="DW17" s="120">
        <f t="shared" ref="DW17" si="35">IF(H17="","",IF(I17="",H17*0.8,IF(AND(H17&lt;&gt;"",I17&lt;&gt;""),(H17+I17)/2)+(H17-I17)/2.5))</f>
        <v>3.5640000000000001</v>
      </c>
      <c r="DX17" s="120">
        <f t="shared" ref="DX17" si="36">IF(I17="","",IF(H17="",I17*1.2,IF(I17="","",IF(AND(H17&lt;&gt;"",I17&lt;&gt;""),(H17+I17)/2)-(H17-I17)/2.5)))</f>
        <v>3.4359999999999999</v>
      </c>
      <c r="DY17" s="121" t="str">
        <f t="shared" ca="1" si="17"/>
        <v/>
      </c>
      <c r="DZ17" s="121" t="str">
        <f t="shared" ca="1" si="18"/>
        <v/>
      </c>
      <c r="EA17" s="121">
        <f t="shared" ref="EA17" ca="1" si="37">MAX(INDIRECT(ADDRESS(ROW(J17),COLUMN(J17))&amp;":"&amp;ADDRESS(ROW(J17),9+$F$11)))</f>
        <v>3.5167999999999999</v>
      </c>
      <c r="EB17" s="117">
        <f t="shared" ref="EB17" ca="1" si="38">MIN(INDIRECT(ADDRESS(ROW(J17),COLUMN(J17))&amp;":"&amp;ADDRESS(ROW(J17),9+$F$11)))</f>
        <v>3.4337</v>
      </c>
      <c r="EC17" s="122">
        <f t="shared" ref="EC17" si="39">IF(AND(H17="",I17=""),"",IF(H17="",99999,H17))</f>
        <v>3.58</v>
      </c>
      <c r="ED17" s="122">
        <f t="shared" ref="ED17" si="40">IF(AND(H17="",I17=""),"",IF(I17="",-99999,I17))</f>
        <v>3.42</v>
      </c>
      <c r="EE17" s="122">
        <f t="shared" si="23"/>
        <v>0.16000000000000014</v>
      </c>
      <c r="EF17" s="118"/>
      <c r="EG17" s="114"/>
      <c r="EH17" s="114"/>
      <c r="EI17" s="114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  <c r="FV17" s="20"/>
      <c r="FW17" s="20"/>
      <c r="FX17" s="20"/>
      <c r="FY17" s="20"/>
      <c r="FZ17" s="20"/>
      <c r="GA17" s="20"/>
      <c r="GB17" s="20"/>
      <c r="GC17" s="20"/>
      <c r="GD17" s="20"/>
      <c r="GE17" s="20"/>
      <c r="GF17" s="20"/>
      <c r="GG17" s="20"/>
      <c r="GH17" s="20"/>
      <c r="GI17" s="20"/>
      <c r="GJ17" s="20"/>
      <c r="GK17" s="20"/>
      <c r="GL17" s="20"/>
      <c r="GM17" s="20"/>
      <c r="GN17" s="20"/>
      <c r="GO17" s="20"/>
      <c r="GP17" s="20"/>
      <c r="GQ17" s="20"/>
      <c r="GR17" s="20"/>
      <c r="GS17" s="20"/>
      <c r="GT17" s="20"/>
      <c r="GU17" s="20"/>
      <c r="GV17" s="20"/>
      <c r="GW17" s="20"/>
      <c r="GX17" s="20"/>
      <c r="GY17" s="20"/>
      <c r="GZ17" s="20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</row>
    <row r="18" spans="1:235" s="21" customFormat="1" ht="16.5" customHeight="1">
      <c r="A18" s="45">
        <v>4</v>
      </c>
      <c r="B18" s="45" t="s">
        <v>98</v>
      </c>
      <c r="C18" s="45"/>
      <c r="D18" s="46" t="s">
        <v>85</v>
      </c>
      <c r="E18" s="47">
        <v>3.5</v>
      </c>
      <c r="F18" s="47">
        <v>0.08</v>
      </c>
      <c r="G18" s="47">
        <v>-0.08</v>
      </c>
      <c r="H18" s="48">
        <f t="shared" ref="H18" si="41">IF(OR(E18="",F18="",G18=""),"",IF(AND(E18="\",G18="\"),F18,IF(AND(E18="\",F18="\"),"",E18+F18)))</f>
        <v>3.58</v>
      </c>
      <c r="I18" s="48">
        <f t="shared" ref="I18" si="42">IF(OR(E18="",F18="",G18=""),"",IF(AND(E18="\",G18="\"),"",IF(AND(E18="\",F18="\"),G18,IF(AND(E18=0,G18="\"),0,E18+G18))))</f>
        <v>3.42</v>
      </c>
      <c r="J18" s="47">
        <v>3.5121000000000002</v>
      </c>
      <c r="K18" s="47">
        <v>3.5165999999999999</v>
      </c>
      <c r="L18" s="47">
        <v>3.5173999999999999</v>
      </c>
      <c r="M18" s="47">
        <v>3.5063</v>
      </c>
      <c r="N18" s="47">
        <v>3.5047999999999999</v>
      </c>
      <c r="O18" s="47">
        <v>3.5091000000000001</v>
      </c>
      <c r="P18" s="47">
        <v>3.5163000000000002</v>
      </c>
      <c r="Q18" s="47">
        <v>3.5225</v>
      </c>
      <c r="R18" s="47">
        <v>3.5143</v>
      </c>
      <c r="S18" s="47">
        <v>3.49</v>
      </c>
      <c r="T18" s="47">
        <v>3.4927999999999999</v>
      </c>
      <c r="U18" s="47">
        <v>3.4889000000000001</v>
      </c>
      <c r="V18" s="47">
        <v>3.5070999999999999</v>
      </c>
      <c r="W18" s="47">
        <v>3.5076000000000001</v>
      </c>
      <c r="X18" s="47">
        <v>3.5074000000000001</v>
      </c>
      <c r="Y18" s="47">
        <v>3.4738000000000002</v>
      </c>
      <c r="Z18" s="47">
        <v>3.4681000000000002</v>
      </c>
      <c r="AA18" s="47">
        <v>3.4681999999999999</v>
      </c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9">
        <f t="shared" ref="DF18" ca="1" si="43">IF(J18="","",AVERAGE(INDIRECT(ADDRESS(ROW(J18),COLUMN(J18))&amp;":"&amp;ADDRESS(ROW(J18),9+$F$11))))</f>
        <v>3.5012944444444445</v>
      </c>
      <c r="DG18" s="86" t="str">
        <f t="shared" ref="DG18" ca="1" si="44">IF(AND(H18="",I18=""),"",IF($DR$12=1,DS18,DY18))</f>
        <v/>
      </c>
      <c r="DH18" s="127" t="str">
        <f t="shared" ref="DH18" ca="1" si="45">IF(AND(H18="",I18=""),"",IF($DR$12=1,DT18,DZ18))</f>
        <v/>
      </c>
      <c r="DI18" s="50" t="str">
        <f t="shared" ca="1" si="6"/>
        <v>OK</v>
      </c>
      <c r="DJ18" s="51" t="str">
        <f t="shared" ca="1" si="7"/>
        <v/>
      </c>
      <c r="DK18" s="52" t="str">
        <f t="shared" ref="DK18" ca="1" si="46">IF(DJ18="","",IF(G18="\",DU18,IF(F18="\",DV18,(H18-I18)/(6*DJ18))))</f>
        <v/>
      </c>
      <c r="DL18" s="52" t="str">
        <f t="shared" ref="DL18" ca="1" si="47">IF(DK18="","",IF(G18="\",DU18,IF(F18="\",DV18,MIN(DU18,DV18))))</f>
        <v/>
      </c>
      <c r="DM18" s="84" t="str">
        <f t="shared" ref="DM18" ca="1" si="48">IF(DK18="","",IF(H18="","",IF(I18="","",DF18-(H18+I18)/2)))</f>
        <v/>
      </c>
      <c r="DN18" s="133" t="s">
        <v>87</v>
      </c>
      <c r="DO18" s="81"/>
      <c r="DP18" s="137"/>
      <c r="DQ18" s="138"/>
      <c r="DR18" s="98">
        <f t="shared" ref="DR18" si="49">IF(A18="","",1)</f>
        <v>1</v>
      </c>
      <c r="DS18" s="120" t="str">
        <f t="shared" ca="1" si="11"/>
        <v/>
      </c>
      <c r="DT18" s="120" t="str">
        <f t="shared" ca="1" si="12"/>
        <v/>
      </c>
      <c r="DU18" s="120" t="e">
        <f t="shared" ref="DU18" ca="1" si="50">IF(H18="","",(H18-DF18)/3/DJ18)</f>
        <v>#VALUE!</v>
      </c>
      <c r="DV18" s="120" t="e">
        <f t="shared" ref="DV18" ca="1" si="51">IF(I18="","",(DF18-I18)/3/DJ18)</f>
        <v>#VALUE!</v>
      </c>
      <c r="DW18" s="120">
        <f t="shared" ref="DW18" si="52">IF(H18="","",IF(I18="",H18*0.8,IF(AND(H18&lt;&gt;"",I18&lt;&gt;""),(H18+I18)/2)+(H18-I18)/2.5))</f>
        <v>3.5640000000000001</v>
      </c>
      <c r="DX18" s="120">
        <f t="shared" ref="DX18" si="53">IF(I18="","",IF(H18="",I18*1.2,IF(I18="","",IF(AND(H18&lt;&gt;"",I18&lt;&gt;""),(H18+I18)/2)-(H18-I18)/2.5)))</f>
        <v>3.4359999999999999</v>
      </c>
      <c r="DY18" s="121" t="str">
        <f t="shared" ca="1" si="17"/>
        <v/>
      </c>
      <c r="DZ18" s="121" t="str">
        <f t="shared" ca="1" si="18"/>
        <v/>
      </c>
      <c r="EA18" s="121">
        <f t="shared" ref="EA18" ca="1" si="54">MAX(INDIRECT(ADDRESS(ROW(J18),COLUMN(J18))&amp;":"&amp;ADDRESS(ROW(J18),9+$F$11)))</f>
        <v>3.5225</v>
      </c>
      <c r="EB18" s="117">
        <f t="shared" ref="EB18" ca="1" si="55">MIN(INDIRECT(ADDRESS(ROW(J18),COLUMN(J18))&amp;":"&amp;ADDRESS(ROW(J18),9+$F$11)))</f>
        <v>3.4681000000000002</v>
      </c>
      <c r="EC18" s="122">
        <f t="shared" ref="EC18" si="56">IF(AND(H18="",I18=""),"",IF(H18="",99999,H18))</f>
        <v>3.58</v>
      </c>
      <c r="ED18" s="122">
        <f t="shared" ref="ED18" si="57">IF(AND(H18="",I18=""),"",IF(I18="",-99999,I18))</f>
        <v>3.42</v>
      </c>
      <c r="EE18" s="122">
        <f t="shared" si="23"/>
        <v>0.16000000000000014</v>
      </c>
      <c r="EF18" s="118"/>
      <c r="EG18" s="114"/>
      <c r="EH18" s="114"/>
      <c r="EI18" s="114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  <c r="FC18" s="20"/>
      <c r="FD18" s="20"/>
      <c r="FE18" s="20"/>
      <c r="FF18" s="20"/>
      <c r="FG18" s="20"/>
      <c r="FH18" s="20"/>
      <c r="FI18" s="20"/>
      <c r="FJ18" s="20"/>
      <c r="FK18" s="20"/>
      <c r="FL18" s="20"/>
      <c r="FM18" s="20"/>
      <c r="FN18" s="20"/>
      <c r="FO18" s="20"/>
      <c r="FP18" s="20"/>
      <c r="FQ18" s="20"/>
      <c r="FR18" s="20"/>
      <c r="FS18" s="20"/>
      <c r="FT18" s="20"/>
      <c r="FU18" s="20"/>
      <c r="FV18" s="20"/>
      <c r="FW18" s="20"/>
      <c r="FX18" s="20"/>
      <c r="FY18" s="20"/>
      <c r="FZ18" s="20"/>
      <c r="GA18" s="20"/>
      <c r="GB18" s="20"/>
      <c r="GC18" s="20"/>
      <c r="GD18" s="20"/>
      <c r="GE18" s="20"/>
      <c r="GF18" s="20"/>
      <c r="GG18" s="20"/>
      <c r="GH18" s="20"/>
      <c r="GI18" s="20"/>
      <c r="GJ18" s="20"/>
      <c r="GK18" s="20"/>
      <c r="GL18" s="20"/>
      <c r="GM18" s="20"/>
      <c r="GN18" s="20"/>
      <c r="GO18" s="20"/>
      <c r="GP18" s="20"/>
      <c r="GQ18" s="20"/>
      <c r="GR18" s="20"/>
      <c r="GS18" s="20"/>
      <c r="GT18" s="20"/>
      <c r="GU18" s="20"/>
      <c r="GV18" s="20"/>
      <c r="GW18" s="20"/>
      <c r="GX18" s="20"/>
      <c r="GY18" s="20"/>
      <c r="GZ18" s="20"/>
      <c r="HA18" s="20"/>
      <c r="HB18" s="20"/>
      <c r="HC18" s="20"/>
      <c r="HD18" s="20"/>
      <c r="HE18" s="20"/>
      <c r="HF18" s="20"/>
      <c r="HG18" s="20"/>
      <c r="HH18" s="20"/>
      <c r="HI18" s="20"/>
      <c r="HJ18" s="20"/>
      <c r="HK18" s="20"/>
      <c r="HL18" s="20"/>
      <c r="HM18" s="20"/>
      <c r="HN18" s="20"/>
      <c r="HO18" s="20"/>
      <c r="HP18" s="20"/>
      <c r="HQ18" s="20"/>
      <c r="HR18" s="20"/>
      <c r="HS18" s="20"/>
      <c r="HT18" s="20"/>
      <c r="HU18" s="20"/>
      <c r="HV18" s="20"/>
      <c r="HW18" s="20"/>
      <c r="HX18" s="20"/>
      <c r="HY18" s="20"/>
      <c r="HZ18" s="20"/>
      <c r="IA18" s="20"/>
    </row>
    <row r="19" spans="1:235" s="21" customFormat="1" ht="16.5" customHeight="1">
      <c r="A19" s="45">
        <v>5</v>
      </c>
      <c r="B19" s="45" t="s">
        <v>99</v>
      </c>
      <c r="C19" s="45"/>
      <c r="D19" s="46" t="s">
        <v>85</v>
      </c>
      <c r="E19" s="47">
        <v>3.5</v>
      </c>
      <c r="F19" s="47">
        <v>0.08</v>
      </c>
      <c r="G19" s="47">
        <v>-0.08</v>
      </c>
      <c r="H19" s="48">
        <f t="shared" ref="H19" si="58">IF(OR(E19="",F19="",G19=""),"",IF(AND(E19="\",G19="\"),F19,IF(AND(E19="\",F19="\"),"",E19+F19)))</f>
        <v>3.58</v>
      </c>
      <c r="I19" s="48">
        <f t="shared" ref="I19" si="59">IF(OR(E19="",F19="",G19=""),"",IF(AND(E19="\",G19="\"),"",IF(AND(E19="\",F19="\"),G19,IF(AND(E19=0,G19="\"),0,E19+G19))))</f>
        <v>3.42</v>
      </c>
      <c r="J19" s="47">
        <v>3.5373000000000001</v>
      </c>
      <c r="K19" s="47">
        <v>3.5314000000000001</v>
      </c>
      <c r="L19" s="47">
        <v>3.5335000000000001</v>
      </c>
      <c r="M19" s="47">
        <v>3.4918</v>
      </c>
      <c r="N19" s="47">
        <v>3.4851999999999999</v>
      </c>
      <c r="O19" s="47">
        <v>3.4914999999999998</v>
      </c>
      <c r="P19" s="47">
        <v>3.5609000000000002</v>
      </c>
      <c r="Q19" s="47">
        <v>3.5533999999999999</v>
      </c>
      <c r="R19" s="47">
        <v>3.5653999999999999</v>
      </c>
      <c r="S19" s="47">
        <v>3.4573</v>
      </c>
      <c r="T19" s="47">
        <v>3.4531000000000001</v>
      </c>
      <c r="U19" s="47">
        <v>3.4598</v>
      </c>
      <c r="V19" s="47">
        <v>3.4929000000000001</v>
      </c>
      <c r="W19" s="47">
        <v>3.4918999999999998</v>
      </c>
      <c r="X19" s="47">
        <v>3.4923999999999999</v>
      </c>
      <c r="Y19" s="47">
        <v>3.4826999999999999</v>
      </c>
      <c r="Z19" s="47">
        <v>3.4820000000000002</v>
      </c>
      <c r="AA19" s="47">
        <v>3.4781</v>
      </c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9">
        <f t="shared" ref="DF19" ca="1" si="60">IF(J19="","",AVERAGE(INDIRECT(ADDRESS(ROW(J19),COLUMN(J19))&amp;":"&amp;ADDRESS(ROW(J19),9+$F$11))))</f>
        <v>3.5022555555555557</v>
      </c>
      <c r="DG19" s="86" t="str">
        <f t="shared" ref="DG19" ca="1" si="61">IF(AND(H19="",I19=""),"",IF($DR$12=1,DS19,DY19))</f>
        <v/>
      </c>
      <c r="DH19" s="127" t="str">
        <f t="shared" ref="DH19" ca="1" si="62">IF(AND(H19="",I19=""),"",IF($DR$12=1,DT19,DZ19))</f>
        <v/>
      </c>
      <c r="DI19" s="50" t="str">
        <f t="shared" ca="1" si="6"/>
        <v>OK</v>
      </c>
      <c r="DJ19" s="51" t="str">
        <f t="shared" ca="1" si="7"/>
        <v/>
      </c>
      <c r="DK19" s="52" t="str">
        <f t="shared" ref="DK19" ca="1" si="63">IF(DJ19="","",IF(G19="\",DU19,IF(F19="\",DV19,(H19-I19)/(6*DJ19))))</f>
        <v/>
      </c>
      <c r="DL19" s="52" t="str">
        <f t="shared" ref="DL19" ca="1" si="64">IF(DK19="","",IF(G19="\",DU19,IF(F19="\",DV19,MIN(DU19,DV19))))</f>
        <v/>
      </c>
      <c r="DM19" s="84" t="str">
        <f t="shared" ref="DM19" ca="1" si="65">IF(DK19="","",IF(H19="","",IF(I19="","",DF19-(H19+I19)/2)))</f>
        <v/>
      </c>
      <c r="DN19" s="45" t="s">
        <v>87</v>
      </c>
      <c r="DO19" s="81"/>
      <c r="DP19" s="137"/>
      <c r="DQ19" s="138"/>
      <c r="DR19" s="98">
        <f t="shared" ref="DR19" si="66">IF(A19="","",1)</f>
        <v>1</v>
      </c>
      <c r="DS19" s="120" t="str">
        <f t="shared" ca="1" si="11"/>
        <v/>
      </c>
      <c r="DT19" s="120" t="str">
        <f t="shared" ca="1" si="12"/>
        <v/>
      </c>
      <c r="DU19" s="120" t="e">
        <f t="shared" ref="DU19" ca="1" si="67">IF(H19="","",(H19-DF19)/3/DJ19)</f>
        <v>#VALUE!</v>
      </c>
      <c r="DV19" s="120" t="e">
        <f t="shared" ref="DV19" ca="1" si="68">IF(I19="","",(DF19-I19)/3/DJ19)</f>
        <v>#VALUE!</v>
      </c>
      <c r="DW19" s="120">
        <f t="shared" ref="DW19" si="69">IF(H19="","",IF(I19="",H19*0.8,IF(AND(H19&lt;&gt;"",I19&lt;&gt;""),(H19+I19)/2)+(H19-I19)/2.5))</f>
        <v>3.5640000000000001</v>
      </c>
      <c r="DX19" s="120">
        <f t="shared" ref="DX19" si="70">IF(I19="","",IF(H19="",I19*1.2,IF(I19="","",IF(AND(H19&lt;&gt;"",I19&lt;&gt;""),(H19+I19)/2)-(H19-I19)/2.5)))</f>
        <v>3.4359999999999999</v>
      </c>
      <c r="DY19" s="121" t="str">
        <f t="shared" ca="1" si="17"/>
        <v/>
      </c>
      <c r="DZ19" s="121" t="str">
        <f t="shared" ca="1" si="18"/>
        <v/>
      </c>
      <c r="EA19" s="121">
        <f t="shared" ref="EA19" ca="1" si="71">MAX(INDIRECT(ADDRESS(ROW(J19),COLUMN(J19))&amp;":"&amp;ADDRESS(ROW(J19),9+$F$11)))</f>
        <v>3.5653999999999999</v>
      </c>
      <c r="EB19" s="117">
        <f t="shared" ref="EB19" ca="1" si="72">MIN(INDIRECT(ADDRESS(ROW(J19),COLUMN(J19))&amp;":"&amp;ADDRESS(ROW(J19),9+$F$11)))</f>
        <v>3.4531000000000001</v>
      </c>
      <c r="EC19" s="122">
        <f t="shared" ref="EC19" si="73">IF(AND(H19="",I19=""),"",IF(H19="",99999,H19))</f>
        <v>3.58</v>
      </c>
      <c r="ED19" s="122">
        <f t="shared" ref="ED19" si="74">IF(AND(H19="",I19=""),"",IF(I19="",-99999,I19))</f>
        <v>3.42</v>
      </c>
      <c r="EE19" s="122">
        <f t="shared" si="23"/>
        <v>0.16000000000000014</v>
      </c>
      <c r="EF19" s="118"/>
      <c r="EG19" s="114"/>
      <c r="EH19" s="114"/>
      <c r="EI19" s="114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20"/>
      <c r="FM19" s="20"/>
      <c r="FN19" s="20"/>
      <c r="FO19" s="20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 s="20"/>
      <c r="GF19" s="20"/>
      <c r="GG19" s="20"/>
      <c r="GH19" s="20"/>
      <c r="GI19" s="20"/>
      <c r="GJ19" s="20"/>
      <c r="GK19" s="20"/>
      <c r="GL19" s="20"/>
      <c r="GM19" s="20"/>
      <c r="GN19" s="20"/>
      <c r="GO19" s="20"/>
      <c r="GP19" s="20"/>
      <c r="GQ19" s="20"/>
      <c r="GR19" s="20"/>
      <c r="GS19" s="20"/>
      <c r="GT19" s="20"/>
      <c r="GU19" s="20"/>
      <c r="GV19" s="20"/>
      <c r="GW19" s="20"/>
      <c r="GX19" s="20"/>
      <c r="GY19" s="20"/>
      <c r="GZ19" s="20"/>
      <c r="HA19" s="20"/>
      <c r="HB19" s="20"/>
      <c r="HC19" s="20"/>
      <c r="HD19" s="20"/>
      <c r="HE19" s="20"/>
      <c r="HF19" s="20"/>
      <c r="HG19" s="20"/>
      <c r="HH19" s="20"/>
      <c r="HI19" s="20"/>
      <c r="HJ19" s="20"/>
      <c r="HK19" s="20"/>
      <c r="HL19" s="20"/>
      <c r="HM19" s="20"/>
      <c r="HN19" s="20"/>
      <c r="HO19" s="20"/>
      <c r="HP19" s="20"/>
      <c r="HQ19" s="20"/>
      <c r="HR19" s="20"/>
      <c r="HS19" s="20"/>
      <c r="HT19" s="20"/>
      <c r="HU19" s="20"/>
      <c r="HV19" s="20"/>
      <c r="HW19" s="20"/>
      <c r="HX19" s="20"/>
      <c r="HY19" s="20"/>
      <c r="HZ19" s="20"/>
      <c r="IA19" s="20"/>
    </row>
    <row r="20" spans="1:235" s="21" customFormat="1" ht="16.5" customHeight="1">
      <c r="A20" s="45">
        <v>6</v>
      </c>
      <c r="B20" s="45" t="s">
        <v>100</v>
      </c>
      <c r="C20" s="45"/>
      <c r="D20" s="46" t="s">
        <v>85</v>
      </c>
      <c r="E20" s="47">
        <v>3.5</v>
      </c>
      <c r="F20" s="47">
        <v>0.08</v>
      </c>
      <c r="G20" s="47">
        <v>-0.08</v>
      </c>
      <c r="H20" s="48">
        <f t="shared" ref="H20" si="75">IF(OR(E20="",F20="",G20=""),"",IF(AND(E20="\",G20="\"),F20,IF(AND(E20="\",F20="\"),"",E20+F20)))</f>
        <v>3.58</v>
      </c>
      <c r="I20" s="48">
        <f t="shared" ref="I20" si="76">IF(OR(E20="",F20="",G20=""),"",IF(AND(E20="\",G20="\"),"",IF(AND(E20="\",F20="\"),G20,IF(AND(E20=0,G20="\"),0,E20+G20))))</f>
        <v>3.42</v>
      </c>
      <c r="J20" s="47">
        <v>3.5327000000000002</v>
      </c>
      <c r="K20" s="47">
        <v>3.5329000000000002</v>
      </c>
      <c r="L20" s="47">
        <v>3.5278</v>
      </c>
      <c r="M20" s="47">
        <v>3.4740000000000002</v>
      </c>
      <c r="N20" s="47">
        <v>3.4719000000000002</v>
      </c>
      <c r="O20" s="47">
        <v>3.4801000000000002</v>
      </c>
      <c r="P20" s="47">
        <v>3.5261999999999998</v>
      </c>
      <c r="Q20" s="47">
        <v>3.5259999999999998</v>
      </c>
      <c r="R20" s="47">
        <v>3.5182000000000002</v>
      </c>
      <c r="S20" s="47">
        <v>3.4453999999999998</v>
      </c>
      <c r="T20" s="47">
        <v>3.4449999999999998</v>
      </c>
      <c r="U20" s="47">
        <v>3.4470000000000001</v>
      </c>
      <c r="V20" s="47">
        <v>3.4906000000000001</v>
      </c>
      <c r="W20" s="47">
        <v>3.4937</v>
      </c>
      <c r="X20" s="47">
        <v>3.4927000000000001</v>
      </c>
      <c r="Y20" s="47">
        <v>3.4851000000000001</v>
      </c>
      <c r="Z20" s="47">
        <v>3.4845999999999999</v>
      </c>
      <c r="AA20" s="47">
        <v>3.4891999999999999</v>
      </c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9">
        <f t="shared" ref="DF20" ca="1" si="77">IF(J20="","",AVERAGE(INDIRECT(ADDRESS(ROW(J20),COLUMN(J20))&amp;":"&amp;ADDRESS(ROW(J20),9+$F$11))))</f>
        <v>3.4923944444444448</v>
      </c>
      <c r="DG20" s="86" t="str">
        <f t="shared" ref="DG20" ca="1" si="78">IF(AND(H20="",I20=""),"",IF($DR$12=1,DS20,DY20))</f>
        <v/>
      </c>
      <c r="DH20" s="127" t="str">
        <f t="shared" ref="DH20:DH24" ca="1" si="79">IF(AND(H20="",I20=""),"",IF($DR$12=1,DT20,DZ20))</f>
        <v/>
      </c>
      <c r="DI20" s="50" t="str">
        <f t="shared" ca="1" si="6"/>
        <v>OK</v>
      </c>
      <c r="DJ20" s="51" t="str">
        <f t="shared" ca="1" si="7"/>
        <v/>
      </c>
      <c r="DK20" s="52" t="str">
        <f t="shared" ref="DK20" ca="1" si="80">IF(DJ20="","",IF(G20="\",DU20,IF(F20="\",DV20,(H20-I20)/(6*DJ20))))</f>
        <v/>
      </c>
      <c r="DL20" s="52" t="str">
        <f t="shared" ref="DL20" ca="1" si="81">IF(DK20="","",IF(G20="\",DU20,IF(F20="\",DV20,MIN(DU20,DV20))))</f>
        <v/>
      </c>
      <c r="DM20" s="84" t="str">
        <f t="shared" ref="DM20" ca="1" si="82">IF(DK20="","",IF(H20="","",IF(I20="","",DF20-(H20+I20)/2)))</f>
        <v/>
      </c>
      <c r="DN20" s="133" t="s">
        <v>87</v>
      </c>
      <c r="DO20" s="81"/>
      <c r="DP20" s="137"/>
      <c r="DQ20" s="138"/>
      <c r="DR20" s="98">
        <f t="shared" ref="DR20" si="83">IF(A20="","",1)</f>
        <v>1</v>
      </c>
      <c r="DS20" s="120" t="str">
        <f t="shared" ca="1" si="11"/>
        <v/>
      </c>
      <c r="DT20" s="120" t="str">
        <f t="shared" ca="1" si="12"/>
        <v/>
      </c>
      <c r="DU20" s="120" t="e">
        <f t="shared" ref="DU20" ca="1" si="84">IF(H20="","",(H20-DF20)/3/DJ20)</f>
        <v>#VALUE!</v>
      </c>
      <c r="DV20" s="120" t="e">
        <f t="shared" ref="DV20" ca="1" si="85">IF(I20="","",(DF20-I20)/3/DJ20)</f>
        <v>#VALUE!</v>
      </c>
      <c r="DW20" s="120">
        <f t="shared" ref="DW20" si="86">IF(H20="","",IF(I20="",H20*0.8,IF(AND(H20&lt;&gt;"",I20&lt;&gt;""),(H20+I20)/2)+(H20-I20)/2.5))</f>
        <v>3.5640000000000001</v>
      </c>
      <c r="DX20" s="120">
        <f t="shared" ref="DX20" si="87">IF(I20="","",IF(H20="",I20*1.2,IF(I20="","",IF(AND(H20&lt;&gt;"",I20&lt;&gt;""),(H20+I20)/2)-(H20-I20)/2.5)))</f>
        <v>3.4359999999999999</v>
      </c>
      <c r="DY20" s="121" t="str">
        <f t="shared" ca="1" si="17"/>
        <v/>
      </c>
      <c r="DZ20" s="121" t="str">
        <f t="shared" ca="1" si="18"/>
        <v/>
      </c>
      <c r="EA20" s="121">
        <f t="shared" ref="EA20" ca="1" si="88">MAX(INDIRECT(ADDRESS(ROW(J20),COLUMN(J20))&amp;":"&amp;ADDRESS(ROW(J20),9+$F$11)))</f>
        <v>3.5329000000000002</v>
      </c>
      <c r="EB20" s="117">
        <f t="shared" ref="EB20" ca="1" si="89">MIN(INDIRECT(ADDRESS(ROW(J20),COLUMN(J20))&amp;":"&amp;ADDRESS(ROW(J20),9+$F$11)))</f>
        <v>3.4449999999999998</v>
      </c>
      <c r="EC20" s="122">
        <f t="shared" ref="EC20:EC21" si="90">IF(AND(H20="",I20=""),"",IF(H20="",99999,H20))</f>
        <v>3.58</v>
      </c>
      <c r="ED20" s="122">
        <f t="shared" ref="ED20" si="91">IF(AND(H20="",I20=""),"",IF(I20="",-99999,I20))</f>
        <v>3.42</v>
      </c>
      <c r="EE20" s="122">
        <f t="shared" si="23"/>
        <v>0.16000000000000014</v>
      </c>
      <c r="EF20" s="118"/>
      <c r="EG20" s="114"/>
      <c r="EH20" s="114"/>
      <c r="EI20" s="114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</row>
    <row r="21" spans="1:235" s="21" customFormat="1" ht="16.5" customHeight="1">
      <c r="A21" s="45">
        <v>7</v>
      </c>
      <c r="B21" s="45" t="s">
        <v>101</v>
      </c>
      <c r="C21" s="45"/>
      <c r="D21" s="46" t="s">
        <v>85</v>
      </c>
      <c r="E21" s="47">
        <v>0</v>
      </c>
      <c r="F21" s="47">
        <v>0</v>
      </c>
      <c r="G21" s="47">
        <v>-0.08</v>
      </c>
      <c r="H21" s="48">
        <f t="shared" ref="H21" si="92">IF(OR(E21="",F21="",G21=""),"",IF(AND(E21="\",G21="\"),F21,IF(AND(E21="\",F21="\"),"",E21+F21)))</f>
        <v>0</v>
      </c>
      <c r="I21" s="48">
        <f t="shared" ref="I21" si="93">IF(OR(E21="",F21="",G21=""),"",IF(AND(E21="\",G21="\"),"",IF(AND(E21="\",F21="\"),G21,IF(AND(E21=0,G21="\"),0,E21+G21))))</f>
        <v>-0.08</v>
      </c>
      <c r="J21" s="47">
        <v>-6.4999999999999997E-3</v>
      </c>
      <c r="K21" s="47">
        <v>-7.7999999999999996E-3</v>
      </c>
      <c r="L21" s="47">
        <v>-2.3999999999999998E-3</v>
      </c>
      <c r="M21" s="47">
        <v>-1.4999999999999999E-2</v>
      </c>
      <c r="N21" s="47">
        <v>-8.6999999999999994E-3</v>
      </c>
      <c r="O21" s="47">
        <v>-5.7999999999999996E-3</v>
      </c>
      <c r="P21" s="47">
        <v>-1.04E-2</v>
      </c>
      <c r="Q21" s="47">
        <v>-9.1000000000000004E-3</v>
      </c>
      <c r="R21" s="47">
        <v>-6.8999999999999999E-3</v>
      </c>
      <c r="S21" s="47">
        <v>-1.4E-2</v>
      </c>
      <c r="T21" s="47">
        <v>-8.5000000000000006E-3</v>
      </c>
      <c r="U21" s="47">
        <v>-1.6000000000000001E-3</v>
      </c>
      <c r="V21" s="47">
        <v>-4.1999999999999997E-3</v>
      </c>
      <c r="W21" s="47">
        <v>-6.4000000000000003E-3</v>
      </c>
      <c r="X21" s="47">
        <v>-1.03E-2</v>
      </c>
      <c r="Y21" s="47">
        <v>-5.7999999999999996E-3</v>
      </c>
      <c r="Z21" s="47">
        <v>-1.3899999999999999E-2</v>
      </c>
      <c r="AA21" s="47">
        <v>-9.1999999999999998E-3</v>
      </c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9">
        <f t="shared" ref="DF21" ca="1" si="94">IF(J21="","",AVERAGE(INDIRECT(ADDRESS(ROW(J21),COLUMN(J21))&amp;":"&amp;ADDRESS(ROW(J21),9+$F$11))))</f>
        <v>-8.1388888888888899E-3</v>
      </c>
      <c r="DG21" s="86" t="str">
        <f t="shared" ref="DG21" ca="1" si="95">IF(AND(H21="",I21=""),"",IF($DR$12=1,DS21,DY21))</f>
        <v/>
      </c>
      <c r="DH21" s="127" t="str">
        <f t="shared" ca="1" si="79"/>
        <v/>
      </c>
      <c r="DI21" s="50" t="str">
        <f t="shared" ca="1" si="6"/>
        <v>OK</v>
      </c>
      <c r="DJ21" s="51" t="str">
        <f t="shared" ca="1" si="7"/>
        <v/>
      </c>
      <c r="DK21" s="52" t="str">
        <f t="shared" ref="DK21" ca="1" si="96">IF(DJ21="","",IF(G21="\",DU21,IF(F21="\",DV21,(H21-I21)/(6*DJ21))))</f>
        <v/>
      </c>
      <c r="DL21" s="52" t="str">
        <f t="shared" ref="DL21" ca="1" si="97">IF(DK21="","",IF(G21="\",DU21,IF(F21="\",DV21,MIN(DU21,DV21))))</f>
        <v/>
      </c>
      <c r="DM21" s="84" t="str">
        <f t="shared" ref="DM21" ca="1" si="98">IF(DK21="","",IF(H21="","",IF(I21="","",DF21-(H21+I21)/2)))</f>
        <v/>
      </c>
      <c r="DN21" s="133" t="s">
        <v>88</v>
      </c>
      <c r="DO21" s="81"/>
      <c r="DP21" s="137"/>
      <c r="DQ21" s="138"/>
      <c r="DR21" s="98">
        <f t="shared" ref="DR21" si="99">IF(A21="","",1)</f>
        <v>1</v>
      </c>
      <c r="DS21" s="120" t="str">
        <f t="shared" ca="1" si="11"/>
        <v/>
      </c>
      <c r="DT21" s="120" t="str">
        <f t="shared" ca="1" si="12"/>
        <v/>
      </c>
      <c r="DU21" s="120" t="e">
        <f t="shared" ref="DU21" ca="1" si="100">IF(H21="","",(H21-DF21)/3/DJ21)</f>
        <v>#VALUE!</v>
      </c>
      <c r="DV21" s="120" t="e">
        <f t="shared" ref="DV21" ca="1" si="101">IF(I21="","",(DF21-I21)/3/DJ21)</f>
        <v>#VALUE!</v>
      </c>
      <c r="DW21" s="120">
        <f t="shared" ref="DW21" si="102">IF(H21="","",IF(I21="",H21*0.8,IF(AND(H21&lt;&gt;"",I21&lt;&gt;""),(H21+I21)/2)+(H21-I21)/2.5))</f>
        <v>-8.0000000000000002E-3</v>
      </c>
      <c r="DX21" s="120">
        <f t="shared" ref="DX21" si="103">IF(I21="","",IF(H21="",I21*1.2,IF(I21="","",IF(AND(H21&lt;&gt;"",I21&lt;&gt;""),(H21+I21)/2)-(H21-I21)/2.5)))</f>
        <v>-7.2000000000000008E-2</v>
      </c>
      <c r="DY21" s="121" t="str">
        <f t="shared" ca="1" si="17"/>
        <v/>
      </c>
      <c r="DZ21" s="121" t="str">
        <f t="shared" ca="1" si="18"/>
        <v/>
      </c>
      <c r="EA21" s="121">
        <f t="shared" ref="EA21" ca="1" si="104">MAX(INDIRECT(ADDRESS(ROW(J21),COLUMN(J21))&amp;":"&amp;ADDRESS(ROW(J21),9+$F$11)))</f>
        <v>-1.6000000000000001E-3</v>
      </c>
      <c r="EB21" s="117">
        <f t="shared" ref="EB21" ca="1" si="105">MIN(INDIRECT(ADDRESS(ROW(J21),COLUMN(J21))&amp;":"&amp;ADDRESS(ROW(J21),9+$F$11)))</f>
        <v>-1.4999999999999999E-2</v>
      </c>
      <c r="EC21" s="122">
        <f t="shared" si="90"/>
        <v>0</v>
      </c>
      <c r="ED21" s="122">
        <f t="shared" ref="ED21" si="106">IF(AND(H21="",I21=""),"",IF(I21="",-99999,I21))</f>
        <v>-0.08</v>
      </c>
      <c r="EE21" s="122">
        <f t="shared" si="23"/>
        <v>0.08</v>
      </c>
      <c r="EF21" s="118"/>
      <c r="EG21" s="114"/>
      <c r="EH21" s="114"/>
      <c r="EI21" s="114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U21" s="20"/>
      <c r="EV21" s="20"/>
      <c r="EW21" s="20"/>
      <c r="EX21" s="20"/>
      <c r="EY21" s="20"/>
      <c r="EZ21" s="20"/>
      <c r="FA21" s="20"/>
      <c r="FB21" s="20"/>
      <c r="FC21" s="20"/>
      <c r="FD21" s="20"/>
      <c r="FE21" s="20"/>
      <c r="FF21" s="20"/>
      <c r="FG21" s="20"/>
      <c r="FH21" s="20"/>
      <c r="FI21" s="20"/>
      <c r="FJ21" s="20"/>
      <c r="FK21" s="20"/>
      <c r="FL21" s="20"/>
      <c r="FM21" s="20"/>
      <c r="FN21" s="20"/>
      <c r="FO21" s="20"/>
      <c r="FP21" s="20"/>
      <c r="FQ21" s="20"/>
      <c r="FR21" s="20"/>
      <c r="FS21" s="20"/>
      <c r="FT21" s="20"/>
      <c r="FU21" s="20"/>
      <c r="FV21" s="20"/>
      <c r="FW21" s="20"/>
      <c r="FX21" s="20"/>
      <c r="FY21" s="20"/>
      <c r="FZ21" s="20"/>
      <c r="GA21" s="20"/>
      <c r="GB21" s="20"/>
      <c r="GC21" s="20"/>
      <c r="GD21" s="20"/>
      <c r="GE21" s="20"/>
      <c r="GF21" s="20"/>
      <c r="GG21" s="20"/>
      <c r="GH21" s="20"/>
      <c r="GI21" s="20"/>
      <c r="GJ21" s="20"/>
      <c r="GK21" s="20"/>
      <c r="GL21" s="20"/>
      <c r="GM21" s="20"/>
      <c r="GN21" s="20"/>
      <c r="GO21" s="20"/>
      <c r="GP21" s="20"/>
      <c r="GQ21" s="20"/>
      <c r="GR21" s="20"/>
      <c r="GS21" s="20"/>
      <c r="GT21" s="20"/>
      <c r="GU21" s="20"/>
      <c r="GV21" s="20"/>
      <c r="GW21" s="20"/>
      <c r="GX21" s="20"/>
      <c r="GY21" s="20"/>
      <c r="GZ21" s="20"/>
      <c r="HA21" s="20"/>
      <c r="HB21" s="20"/>
      <c r="HC21" s="20"/>
      <c r="HD21" s="20"/>
      <c r="HE21" s="20"/>
      <c r="HF21" s="20"/>
      <c r="HG21" s="20"/>
      <c r="HH21" s="20"/>
      <c r="HI21" s="20"/>
      <c r="HJ21" s="20"/>
      <c r="HK21" s="20"/>
      <c r="HL21" s="20"/>
      <c r="HM21" s="20"/>
      <c r="HN21" s="20"/>
      <c r="HO21" s="20"/>
      <c r="HP21" s="20"/>
      <c r="HQ21" s="20"/>
      <c r="HR21" s="20"/>
      <c r="HS21" s="20"/>
      <c r="HT21" s="20"/>
      <c r="HU21" s="20"/>
      <c r="HV21" s="20"/>
      <c r="HW21" s="20"/>
      <c r="HX21" s="20"/>
      <c r="HY21" s="20"/>
      <c r="HZ21" s="20"/>
      <c r="IA21" s="20"/>
    </row>
    <row r="22" spans="1:235" s="21" customFormat="1" ht="16.5" customHeight="1">
      <c r="A22" s="45">
        <v>8</v>
      </c>
      <c r="B22" s="45" t="s">
        <v>102</v>
      </c>
      <c r="C22" s="45"/>
      <c r="D22" s="46" t="s">
        <v>85</v>
      </c>
      <c r="E22" s="47">
        <v>0</v>
      </c>
      <c r="F22" s="47">
        <v>0</v>
      </c>
      <c r="G22" s="47">
        <v>-0.08</v>
      </c>
      <c r="H22" s="48">
        <f t="shared" ref="H22" si="107">IF(OR(E22="",F22="",G22=""),"",IF(AND(E22="\",G22="\"),F22,IF(AND(E22="\",F22="\"),"",E22+F22)))</f>
        <v>0</v>
      </c>
      <c r="I22" s="48">
        <f t="shared" ref="I22" si="108">IF(OR(E22="",F22="",G22=""),"",IF(AND(E22="\",G22="\"),"",IF(AND(E22="\",F22="\"),G22,IF(AND(E22=0,G22="\"),0,E22+G22))))</f>
        <v>-0.08</v>
      </c>
      <c r="J22" s="47">
        <v>-1.84E-2</v>
      </c>
      <c r="K22" s="47">
        <v>-2.18E-2</v>
      </c>
      <c r="L22" s="47">
        <v>-1.6899999999999998E-2</v>
      </c>
      <c r="M22" s="47">
        <v>-2.4400000000000002E-2</v>
      </c>
      <c r="N22" s="47">
        <v>-1.55E-2</v>
      </c>
      <c r="O22" s="47">
        <v>-2.1999999999999999E-2</v>
      </c>
      <c r="P22" s="47">
        <v>-1.8499999999999999E-2</v>
      </c>
      <c r="Q22" s="47">
        <v>-2.3800000000000002E-2</v>
      </c>
      <c r="R22" s="47">
        <v>-2.0299999999999999E-2</v>
      </c>
      <c r="S22" s="47">
        <v>-1.47E-2</v>
      </c>
      <c r="T22" s="47">
        <v>-2.6700000000000002E-2</v>
      </c>
      <c r="U22" s="47">
        <v>-2.12E-2</v>
      </c>
      <c r="V22" s="47">
        <v>-2.53E-2</v>
      </c>
      <c r="W22" s="47">
        <v>-9.2999999999999992E-3</v>
      </c>
      <c r="X22" s="47">
        <v>-1.4E-2</v>
      </c>
      <c r="Y22" s="47">
        <v>-1.7299999999999999E-2</v>
      </c>
      <c r="Z22" s="47">
        <v>-3.3300000000000003E-2</v>
      </c>
      <c r="AA22" s="47">
        <v>-1.7500000000000002E-2</v>
      </c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9">
        <f t="shared" ref="DF22" ca="1" si="109">IF(J22="","",AVERAGE(INDIRECT(ADDRESS(ROW(J22),COLUMN(J22))&amp;":"&amp;ADDRESS(ROW(J22),9+$F$11))))</f>
        <v>-2.0049999999999998E-2</v>
      </c>
      <c r="DG22" s="86" t="str">
        <f t="shared" ref="DG22" ca="1" si="110">IF(AND(H22="",I22=""),"",IF($DR$12=1,DS22,DY22))</f>
        <v/>
      </c>
      <c r="DH22" s="127" t="str">
        <f t="shared" ca="1" si="79"/>
        <v/>
      </c>
      <c r="DI22" s="50" t="str">
        <f t="shared" ca="1" si="6"/>
        <v>OK</v>
      </c>
      <c r="DJ22" s="51" t="str">
        <f t="shared" ca="1" si="7"/>
        <v/>
      </c>
      <c r="DK22" s="52" t="str">
        <f t="shared" ref="DK22" ca="1" si="111">IF(DJ22="","",IF(G22="\",DU22,IF(F22="\",DV22,(H22-I22)/(6*DJ22))))</f>
        <v/>
      </c>
      <c r="DL22" s="52" t="str">
        <f t="shared" ref="DL22" ca="1" si="112">IF(DK22="","",IF(G22="\",DU22,IF(F22="\",DV22,MIN(DU22,DV22))))</f>
        <v/>
      </c>
      <c r="DM22" s="84" t="str">
        <f t="shared" ref="DM22" ca="1" si="113">IF(DK22="","",IF(H22="","",IF(I22="","",DF22-(H22+I22)/2)))</f>
        <v/>
      </c>
      <c r="DN22" s="133" t="s">
        <v>89</v>
      </c>
      <c r="DO22" s="81"/>
      <c r="DP22" s="137"/>
      <c r="DQ22" s="138"/>
      <c r="DR22" s="98">
        <f t="shared" ref="DR22" si="114">IF(A22="","",1)</f>
        <v>1</v>
      </c>
      <c r="DS22" s="120" t="str">
        <f t="shared" ca="1" si="11"/>
        <v/>
      </c>
      <c r="DT22" s="120" t="str">
        <f t="shared" ca="1" si="12"/>
        <v/>
      </c>
      <c r="DU22" s="120" t="e">
        <f t="shared" ref="DU22" ca="1" si="115">IF(H22="","",(H22-DF22)/3/DJ22)</f>
        <v>#VALUE!</v>
      </c>
      <c r="DV22" s="120" t="e">
        <f t="shared" ref="DV22" ca="1" si="116">IF(I22="","",(DF22-I22)/3/DJ22)</f>
        <v>#VALUE!</v>
      </c>
      <c r="DW22" s="120">
        <f t="shared" ref="DW22" si="117">IF(H22="","",IF(I22="",H22*0.8,IF(AND(H22&lt;&gt;"",I22&lt;&gt;""),(H22+I22)/2)+(H22-I22)/2.5))</f>
        <v>-8.0000000000000002E-3</v>
      </c>
      <c r="DX22" s="120">
        <f t="shared" ref="DX22" si="118">IF(I22="","",IF(H22="",I22*1.2,IF(I22="","",IF(AND(H22&lt;&gt;"",I22&lt;&gt;""),(H22+I22)/2)-(H22-I22)/2.5)))</f>
        <v>-7.2000000000000008E-2</v>
      </c>
      <c r="DY22" s="121" t="str">
        <f t="shared" ca="1" si="17"/>
        <v/>
      </c>
      <c r="DZ22" s="121" t="str">
        <f t="shared" ca="1" si="18"/>
        <v/>
      </c>
      <c r="EA22" s="121">
        <f t="shared" ref="EA22" ca="1" si="119">MAX(INDIRECT(ADDRESS(ROW(J22),COLUMN(J22))&amp;":"&amp;ADDRESS(ROW(J22),9+$F$11)))</f>
        <v>-9.2999999999999992E-3</v>
      </c>
      <c r="EB22" s="117">
        <f t="shared" ref="EB22" ca="1" si="120">MIN(INDIRECT(ADDRESS(ROW(J22),COLUMN(J22))&amp;":"&amp;ADDRESS(ROW(J22),9+$F$11)))</f>
        <v>-3.3300000000000003E-2</v>
      </c>
      <c r="EC22" s="122">
        <f t="shared" ref="EC22" si="121">IF(AND(H22="",I22=""),"",IF(H22="",99999,H22))</f>
        <v>0</v>
      </c>
      <c r="ED22" s="122">
        <f t="shared" ref="ED22" si="122">IF(AND(H22="",I22=""),"",IF(I22="",-99999,I22))</f>
        <v>-0.08</v>
      </c>
      <c r="EE22" s="122">
        <f t="shared" si="23"/>
        <v>0.08</v>
      </c>
      <c r="EF22" s="118"/>
      <c r="EG22" s="114"/>
      <c r="EH22" s="114"/>
      <c r="EI22" s="114"/>
      <c r="EJ22" s="20"/>
      <c r="EK22" s="20"/>
      <c r="EL22" s="20"/>
      <c r="EM22" s="20"/>
      <c r="EN22" s="20"/>
      <c r="EO22" s="20"/>
      <c r="EP22" s="20"/>
      <c r="EQ22" s="20"/>
      <c r="ER22" s="20"/>
      <c r="ES22" s="20"/>
      <c r="ET22" s="20"/>
      <c r="EU22" s="20"/>
      <c r="EV22" s="20"/>
      <c r="EW22" s="20"/>
      <c r="EX22" s="20"/>
      <c r="EY22" s="20"/>
      <c r="EZ22" s="20"/>
      <c r="FA22" s="20"/>
      <c r="FB22" s="20"/>
      <c r="FC22" s="20"/>
      <c r="FD22" s="20"/>
      <c r="FE22" s="20"/>
      <c r="FF22" s="20"/>
      <c r="FG22" s="20"/>
      <c r="FH22" s="20"/>
      <c r="FI22" s="20"/>
      <c r="FJ22" s="20"/>
      <c r="FK22" s="20"/>
      <c r="FL22" s="20"/>
      <c r="FM22" s="20"/>
      <c r="FN22" s="20"/>
      <c r="FO22" s="20"/>
      <c r="FP22" s="20"/>
      <c r="FQ22" s="20"/>
      <c r="FR22" s="20"/>
      <c r="FS22" s="20"/>
      <c r="FT22" s="20"/>
      <c r="FU22" s="20"/>
      <c r="FV22" s="20"/>
      <c r="FW22" s="20"/>
      <c r="FX22" s="20"/>
      <c r="FY22" s="20"/>
      <c r="FZ22" s="20"/>
      <c r="GA22" s="20"/>
      <c r="GB22" s="20"/>
      <c r="GC22" s="20"/>
      <c r="GD22" s="20"/>
      <c r="GE22" s="20"/>
      <c r="GF22" s="20"/>
      <c r="GG22" s="20"/>
      <c r="GH22" s="20"/>
      <c r="GI22" s="20"/>
      <c r="GJ22" s="20"/>
      <c r="GK22" s="20"/>
      <c r="GL22" s="20"/>
      <c r="GM22" s="20"/>
      <c r="GN22" s="20"/>
      <c r="GO22" s="20"/>
      <c r="GP22" s="20"/>
      <c r="GQ22" s="20"/>
      <c r="GR22" s="20"/>
      <c r="GS22" s="20"/>
      <c r="GT22" s="20"/>
      <c r="GU22" s="20"/>
      <c r="GV22" s="20"/>
      <c r="GW22" s="20"/>
      <c r="GX22" s="20"/>
      <c r="GY22" s="20"/>
      <c r="GZ22" s="20"/>
      <c r="HA22" s="20"/>
      <c r="HB22" s="20"/>
      <c r="HC22" s="20"/>
      <c r="HD22" s="20"/>
      <c r="HE22" s="20"/>
      <c r="HF22" s="20"/>
      <c r="HG22" s="20"/>
      <c r="HH22" s="20"/>
      <c r="HI22" s="20"/>
      <c r="HJ22" s="20"/>
      <c r="HK22" s="20"/>
      <c r="HL22" s="20"/>
      <c r="HM22" s="20"/>
      <c r="HN22" s="20"/>
      <c r="HO22" s="20"/>
      <c r="HP22" s="20"/>
      <c r="HQ22" s="20"/>
      <c r="HR22" s="20"/>
      <c r="HS22" s="20"/>
      <c r="HT22" s="20"/>
      <c r="HU22" s="20"/>
      <c r="HV22" s="20"/>
      <c r="HW22" s="20"/>
      <c r="HX22" s="20"/>
      <c r="HY22" s="20"/>
      <c r="HZ22" s="20"/>
      <c r="IA22" s="20"/>
    </row>
    <row r="23" spans="1:235" s="21" customFormat="1" ht="16.5" customHeight="1">
      <c r="A23" s="45">
        <v>9</v>
      </c>
      <c r="B23" s="45" t="s">
        <v>103</v>
      </c>
      <c r="C23" s="45"/>
      <c r="D23" s="46" t="s">
        <v>85</v>
      </c>
      <c r="E23" s="47">
        <v>0.5</v>
      </c>
      <c r="F23" s="47">
        <v>0.1</v>
      </c>
      <c r="G23" s="47">
        <v>-0.05</v>
      </c>
      <c r="H23" s="48">
        <f t="shared" ref="H23" si="123">IF(OR(E23="",F23="",G23=""),"",IF(AND(E23="\",G23="\"),F23,IF(AND(E23="\",F23="\"),"",E23+F23)))</f>
        <v>0.6</v>
      </c>
      <c r="I23" s="48">
        <f t="shared" ref="I23" si="124">IF(OR(E23="",F23="",G23=""),"",IF(AND(E23="\",G23="\"),"",IF(AND(E23="\",F23="\"),G23,IF(AND(E23=0,G23="\"),0,E23+G23))))</f>
        <v>0.45</v>
      </c>
      <c r="J23" s="47">
        <v>0.54359999999999997</v>
      </c>
      <c r="K23" s="47">
        <v>0.51480000000000004</v>
      </c>
      <c r="L23" s="47">
        <v>0.53490000000000004</v>
      </c>
      <c r="M23" s="47">
        <v>0.53110000000000002</v>
      </c>
      <c r="N23" s="47">
        <v>0.54630000000000001</v>
      </c>
      <c r="O23" s="47">
        <v>0.50070000000000003</v>
      </c>
      <c r="P23" s="47">
        <v>0.53369999999999995</v>
      </c>
      <c r="Q23" s="47">
        <v>0.52049999999999996</v>
      </c>
      <c r="R23" s="47">
        <v>0.53810000000000002</v>
      </c>
      <c r="S23" s="47">
        <v>0.53520000000000001</v>
      </c>
      <c r="T23" s="47">
        <v>0.52129999999999999</v>
      </c>
      <c r="U23" s="47">
        <v>0.54979999999999996</v>
      </c>
      <c r="V23" s="47">
        <v>0.52290000000000003</v>
      </c>
      <c r="W23" s="47">
        <v>0.51280000000000003</v>
      </c>
      <c r="X23" s="47">
        <v>0.53110000000000002</v>
      </c>
      <c r="Y23" s="47">
        <v>0.51749999999999996</v>
      </c>
      <c r="Z23" s="47">
        <v>0.53369999999999995</v>
      </c>
      <c r="AA23" s="47">
        <v>0.52539999999999998</v>
      </c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9">
        <f t="shared" ref="DF23" ca="1" si="125">IF(J23="","",AVERAGE(INDIRECT(ADDRESS(ROW(J23),COLUMN(J23))&amp;":"&amp;ADDRESS(ROW(J23),9+$F$11))))</f>
        <v>0.52852222222222212</v>
      </c>
      <c r="DG23" s="86" t="str">
        <f t="shared" ref="DG23" ca="1" si="126">IF(AND(H23="",I23=""),"",IF($DR$12=1,DS23,DY23))</f>
        <v/>
      </c>
      <c r="DH23" s="127" t="str">
        <f t="shared" ca="1" si="79"/>
        <v/>
      </c>
      <c r="DI23" s="50" t="str">
        <f t="shared" ca="1" si="6"/>
        <v>OK</v>
      </c>
      <c r="DJ23" s="51" t="str">
        <f t="shared" ca="1" si="7"/>
        <v/>
      </c>
      <c r="DK23" s="52" t="str">
        <f t="shared" ref="DK23" ca="1" si="127">IF(DJ23="","",IF(G23="\",DU23,IF(F23="\",DV23,(H23-I23)/(6*DJ23))))</f>
        <v/>
      </c>
      <c r="DL23" s="52" t="str">
        <f t="shared" ref="DL23" ca="1" si="128">IF(DK23="","",IF(G23="\",DU23,IF(F23="\",DV23,MIN(DU23,DV23))))</f>
        <v/>
      </c>
      <c r="DM23" s="84" t="str">
        <f t="shared" ref="DM23" ca="1" si="129">IF(DK23="","",IF(H23="","",IF(I23="","",DF23-(H23+I23)/2)))</f>
        <v/>
      </c>
      <c r="DN23" s="133" t="s">
        <v>90</v>
      </c>
      <c r="DO23" s="81"/>
      <c r="DP23" s="137"/>
      <c r="DQ23" s="138"/>
      <c r="DR23" s="98">
        <f t="shared" ref="DR23" si="130">IF(A23="","",1)</f>
        <v>1</v>
      </c>
      <c r="DS23" s="120" t="str">
        <f t="shared" ca="1" si="11"/>
        <v/>
      </c>
      <c r="DT23" s="120" t="str">
        <f t="shared" ca="1" si="12"/>
        <v/>
      </c>
      <c r="DU23" s="120" t="e">
        <f t="shared" ref="DU23" ca="1" si="131">IF(H23="","",(H23-DF23)/3/DJ23)</f>
        <v>#VALUE!</v>
      </c>
      <c r="DV23" s="120" t="e">
        <f t="shared" ref="DV23" ca="1" si="132">IF(I23="","",(DF23-I23)/3/DJ23)</f>
        <v>#VALUE!</v>
      </c>
      <c r="DW23" s="120">
        <f t="shared" ref="DW23" si="133">IF(H23="","",IF(I23="",H23*0.8,IF(AND(H23&lt;&gt;"",I23&lt;&gt;""),(H23+I23)/2)+(H23-I23)/2.5))</f>
        <v>0.58499999999999996</v>
      </c>
      <c r="DX23" s="120">
        <f t="shared" ref="DX23" si="134">IF(I23="","",IF(H23="",I23*1.2,IF(I23="","",IF(AND(H23&lt;&gt;"",I23&lt;&gt;""),(H23+I23)/2)-(H23-I23)/2.5)))</f>
        <v>0.46500000000000002</v>
      </c>
      <c r="DY23" s="121" t="str">
        <f t="shared" ca="1" si="17"/>
        <v/>
      </c>
      <c r="DZ23" s="121" t="str">
        <f t="shared" ca="1" si="18"/>
        <v/>
      </c>
      <c r="EA23" s="121">
        <f t="shared" ref="EA23" ca="1" si="135">MAX(INDIRECT(ADDRESS(ROW(J23),COLUMN(J23))&amp;":"&amp;ADDRESS(ROW(J23),9+$F$11)))</f>
        <v>0.54979999999999996</v>
      </c>
      <c r="EB23" s="117">
        <f t="shared" ref="EB23" ca="1" si="136">MIN(INDIRECT(ADDRESS(ROW(J23),COLUMN(J23))&amp;":"&amp;ADDRESS(ROW(J23),9+$F$11)))</f>
        <v>0.50070000000000003</v>
      </c>
      <c r="EC23" s="122">
        <f t="shared" ref="EC23" si="137">IF(AND(H23="",I23=""),"",IF(H23="",99999,H23))</f>
        <v>0.6</v>
      </c>
      <c r="ED23" s="122">
        <f t="shared" ref="ED23" si="138">IF(AND(H23="",I23=""),"",IF(I23="",-99999,I23))</f>
        <v>0.45</v>
      </c>
      <c r="EE23" s="122">
        <f t="shared" si="23"/>
        <v>0.14999999999999997</v>
      </c>
      <c r="EF23" s="118"/>
      <c r="EG23" s="114"/>
      <c r="EH23" s="114"/>
      <c r="EI23" s="114"/>
      <c r="EJ23" s="20"/>
      <c r="EK23" s="20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0"/>
      <c r="EW23" s="20"/>
      <c r="EX23" s="20"/>
      <c r="EY23" s="20"/>
      <c r="EZ23" s="20"/>
      <c r="FA23" s="20"/>
      <c r="FB23" s="20"/>
      <c r="FC23" s="20"/>
      <c r="FD23" s="20"/>
      <c r="FE23" s="20"/>
      <c r="FF23" s="20"/>
      <c r="FG23" s="20"/>
      <c r="FH23" s="20"/>
      <c r="FI23" s="20"/>
      <c r="FJ23" s="20"/>
      <c r="FK23" s="20"/>
      <c r="FL23" s="20"/>
      <c r="FM23" s="20"/>
      <c r="FN23" s="20"/>
      <c r="FO23" s="20"/>
      <c r="FP23" s="20"/>
      <c r="FQ23" s="20"/>
      <c r="FR23" s="20"/>
      <c r="FS23" s="20"/>
      <c r="FT23" s="20"/>
      <c r="FU23" s="20"/>
      <c r="FV23" s="20"/>
      <c r="FW23" s="20"/>
      <c r="FX23" s="20"/>
      <c r="FY23" s="20"/>
      <c r="FZ23" s="20"/>
      <c r="GA23" s="20"/>
      <c r="GB23" s="20"/>
      <c r="GC23" s="20"/>
      <c r="GD23" s="20"/>
      <c r="GE23" s="20"/>
      <c r="GF23" s="20"/>
      <c r="GG23" s="20"/>
      <c r="GH23" s="20"/>
      <c r="GI23" s="20"/>
      <c r="GJ23" s="20"/>
      <c r="GK23" s="20"/>
      <c r="GL23" s="20"/>
      <c r="GM23" s="20"/>
      <c r="GN23" s="20"/>
      <c r="GO23" s="20"/>
      <c r="GP23" s="20"/>
      <c r="GQ23" s="20"/>
      <c r="GR23" s="20"/>
      <c r="GS23" s="20"/>
      <c r="GT23" s="20"/>
      <c r="GU23" s="20"/>
      <c r="GV23" s="20"/>
      <c r="GW23" s="20"/>
      <c r="GX23" s="20"/>
      <c r="GY23" s="20"/>
      <c r="GZ23" s="20"/>
      <c r="HA23" s="20"/>
      <c r="HB23" s="20"/>
      <c r="HC23" s="20"/>
      <c r="HD23" s="20"/>
      <c r="HE23" s="20"/>
      <c r="HF23" s="20"/>
      <c r="HG23" s="20"/>
      <c r="HH23" s="20"/>
      <c r="HI23" s="20"/>
      <c r="HJ23" s="20"/>
      <c r="HK23" s="20"/>
      <c r="HL23" s="20"/>
      <c r="HM23" s="20"/>
      <c r="HN23" s="20"/>
      <c r="HO23" s="20"/>
      <c r="HP23" s="20"/>
      <c r="HQ23" s="20"/>
      <c r="HR23" s="20"/>
      <c r="HS23" s="20"/>
      <c r="HT23" s="20"/>
      <c r="HU23" s="20"/>
      <c r="HV23" s="20"/>
      <c r="HW23" s="20"/>
      <c r="HX23" s="20"/>
      <c r="HY23" s="20"/>
      <c r="HZ23" s="20"/>
      <c r="IA23" s="20"/>
    </row>
    <row r="24" spans="1:235" s="21" customFormat="1" ht="16.5" customHeight="1">
      <c r="A24" s="45">
        <v>10</v>
      </c>
      <c r="B24" s="45" t="s">
        <v>104</v>
      </c>
      <c r="C24" s="45"/>
      <c r="D24" s="46" t="s">
        <v>85</v>
      </c>
      <c r="E24" s="47">
        <v>0.5</v>
      </c>
      <c r="F24" s="47">
        <v>0.1</v>
      </c>
      <c r="G24" s="47">
        <v>-0.05</v>
      </c>
      <c r="H24" s="48">
        <f t="shared" ref="H24" si="139">IF(OR(E24="",F24="",G24=""),"",IF(AND(E24="\",G24="\"),F24,IF(AND(E24="\",F24="\"),"",E24+F24)))</f>
        <v>0.6</v>
      </c>
      <c r="I24" s="48">
        <f t="shared" ref="I24" si="140">IF(OR(E24="",F24="",G24=""),"",IF(AND(E24="\",G24="\"),"",IF(AND(E24="\",F24="\"),G24,IF(AND(E24=0,G24="\"),0,E24+G24))))</f>
        <v>0.45</v>
      </c>
      <c r="J24" s="47">
        <v>0.52459999999999996</v>
      </c>
      <c r="K24" s="47">
        <v>0.53639999999999999</v>
      </c>
      <c r="L24" s="47">
        <v>0.50409999999999999</v>
      </c>
      <c r="M24" s="47">
        <v>0.51619999999999999</v>
      </c>
      <c r="N24" s="47">
        <v>0.52980000000000005</v>
      </c>
      <c r="O24" s="47">
        <v>0.53669999999999995</v>
      </c>
      <c r="P24" s="47">
        <v>0.54510000000000003</v>
      </c>
      <c r="Q24" s="47">
        <v>0.5252</v>
      </c>
      <c r="R24" s="47">
        <v>0.53259999999999996</v>
      </c>
      <c r="S24" s="47">
        <v>0.51749999999999996</v>
      </c>
      <c r="T24" s="47">
        <v>0.50819999999999999</v>
      </c>
      <c r="U24" s="47">
        <v>0.54490000000000005</v>
      </c>
      <c r="V24" s="47">
        <v>0.5121</v>
      </c>
      <c r="W24" s="47">
        <v>0.5111</v>
      </c>
      <c r="X24" s="47">
        <v>0.50890000000000002</v>
      </c>
      <c r="Y24" s="47">
        <v>0.51449999999999996</v>
      </c>
      <c r="Z24" s="47">
        <v>0.51459999999999995</v>
      </c>
      <c r="AA24" s="47">
        <v>0.51800000000000002</v>
      </c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9">
        <f t="shared" ref="DF24" ca="1" si="141">IF(J24="","",AVERAGE(INDIRECT(ADDRESS(ROW(J24),COLUMN(J24))&amp;":"&amp;ADDRESS(ROW(J24),9+$F$11))))</f>
        <v>0.5222500000000001</v>
      </c>
      <c r="DG24" s="86" t="str">
        <f t="shared" ref="DG24" ca="1" si="142">IF(AND(H24="",I24=""),"",IF($DR$12=1,DS24,DY24))</f>
        <v/>
      </c>
      <c r="DH24" s="127" t="str">
        <f t="shared" ca="1" si="79"/>
        <v/>
      </c>
      <c r="DI24" s="50" t="str">
        <f t="shared" ca="1" si="6"/>
        <v>OK</v>
      </c>
      <c r="DJ24" s="51" t="str">
        <f t="shared" ca="1" si="7"/>
        <v/>
      </c>
      <c r="DK24" s="52" t="str">
        <f t="shared" ref="DK24" ca="1" si="143">IF(DJ24="","",IF(G24="\",DU24,IF(F24="\",DV24,(H24-I24)/(6*DJ24))))</f>
        <v/>
      </c>
      <c r="DL24" s="52" t="str">
        <f t="shared" ref="DL24" ca="1" si="144">IF(DK24="","",IF(G24="\",DU24,IF(F24="\",DV24,MIN(DU24,DV24))))</f>
        <v/>
      </c>
      <c r="DM24" s="84" t="str">
        <f t="shared" ref="DM24" ca="1" si="145">IF(DK24="","",IF(H24="","",IF(I24="","",DF24-(H24+I24)/2)))</f>
        <v/>
      </c>
      <c r="DN24" s="133" t="s">
        <v>90</v>
      </c>
      <c r="DO24" s="81"/>
      <c r="DP24" s="137"/>
      <c r="DQ24" s="138"/>
      <c r="DR24" s="98">
        <f t="shared" ref="DR24" si="146">IF(A24="","",1)</f>
        <v>1</v>
      </c>
      <c r="DS24" s="120" t="str">
        <f t="shared" ca="1" si="11"/>
        <v/>
      </c>
      <c r="DT24" s="120" t="str">
        <f t="shared" ca="1" si="12"/>
        <v/>
      </c>
      <c r="DU24" s="120" t="e">
        <f t="shared" ref="DU24" ca="1" si="147">IF(H24="","",(H24-DF24)/3/DJ24)</f>
        <v>#VALUE!</v>
      </c>
      <c r="DV24" s="120" t="e">
        <f t="shared" ref="DV24" ca="1" si="148">IF(I24="","",(DF24-I24)/3/DJ24)</f>
        <v>#VALUE!</v>
      </c>
      <c r="DW24" s="120">
        <f t="shared" ref="DW24" si="149">IF(H24="","",IF(I24="",H24*0.8,IF(AND(H24&lt;&gt;"",I24&lt;&gt;""),(H24+I24)/2)+(H24-I24)/2.5))</f>
        <v>0.58499999999999996</v>
      </c>
      <c r="DX24" s="120">
        <f t="shared" ref="DX24" si="150">IF(I24="","",IF(H24="",I24*1.2,IF(I24="","",IF(AND(H24&lt;&gt;"",I24&lt;&gt;""),(H24+I24)/2)-(H24-I24)/2.5)))</f>
        <v>0.46500000000000002</v>
      </c>
      <c r="DY24" s="121" t="str">
        <f t="shared" ca="1" si="17"/>
        <v/>
      </c>
      <c r="DZ24" s="121" t="str">
        <f t="shared" ca="1" si="18"/>
        <v/>
      </c>
      <c r="EA24" s="121">
        <f t="shared" ref="EA24" ca="1" si="151">MAX(INDIRECT(ADDRESS(ROW(J24),COLUMN(J24))&amp;":"&amp;ADDRESS(ROW(J24),9+$F$11)))</f>
        <v>0.54510000000000003</v>
      </c>
      <c r="EB24" s="117">
        <f t="shared" ref="EB24" ca="1" si="152">MIN(INDIRECT(ADDRESS(ROW(J24),COLUMN(J24))&amp;":"&amp;ADDRESS(ROW(J24),9+$F$11)))</f>
        <v>0.50409999999999999</v>
      </c>
      <c r="EC24" s="122">
        <f t="shared" ref="EC24" si="153">IF(AND(H24="",I24=""),"",IF(H24="",99999,H24))</f>
        <v>0.6</v>
      </c>
      <c r="ED24" s="122">
        <f t="shared" ref="ED24" si="154">IF(AND(H24="",I24=""),"",IF(I24="",-99999,I24))</f>
        <v>0.45</v>
      </c>
      <c r="EE24" s="122">
        <f t="shared" si="23"/>
        <v>0.14999999999999997</v>
      </c>
      <c r="EF24" s="118"/>
      <c r="EG24" s="114"/>
      <c r="EH24" s="114"/>
      <c r="EI24" s="114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  <c r="FC24" s="20"/>
      <c r="FD24" s="20"/>
      <c r="FE24" s="20"/>
      <c r="FF24" s="20"/>
      <c r="FG24" s="20"/>
      <c r="FH24" s="20"/>
      <c r="FI24" s="20"/>
      <c r="FJ24" s="20"/>
      <c r="FK24" s="20"/>
      <c r="FL24" s="20"/>
      <c r="FM24" s="20"/>
      <c r="FN24" s="20"/>
      <c r="FO24" s="20"/>
      <c r="FP24" s="20"/>
      <c r="FQ24" s="20"/>
      <c r="FR24" s="20"/>
      <c r="FS24" s="20"/>
      <c r="FT24" s="20"/>
      <c r="FU24" s="20"/>
      <c r="FV24" s="20"/>
      <c r="FW24" s="20"/>
      <c r="FX24" s="20"/>
      <c r="FY24" s="20"/>
      <c r="FZ24" s="20"/>
      <c r="GA24" s="20"/>
      <c r="GB24" s="20"/>
      <c r="GC24" s="20"/>
      <c r="GD24" s="20"/>
      <c r="GE24" s="20"/>
      <c r="GF24" s="20"/>
      <c r="GG24" s="20"/>
      <c r="GH24" s="20"/>
      <c r="GI24" s="20"/>
      <c r="GJ24" s="20"/>
      <c r="GK24" s="20"/>
      <c r="GL24" s="20"/>
      <c r="GM24" s="20"/>
      <c r="GN24" s="20"/>
      <c r="GO24" s="20"/>
      <c r="GP24" s="20"/>
      <c r="GQ24" s="20"/>
      <c r="GR24" s="20"/>
      <c r="GS24" s="20"/>
      <c r="GT24" s="20"/>
      <c r="GU24" s="20"/>
      <c r="GV24" s="20"/>
      <c r="GW24" s="20"/>
      <c r="GX24" s="20"/>
      <c r="GY24" s="20"/>
      <c r="GZ24" s="20"/>
      <c r="HA24" s="20"/>
      <c r="HB24" s="20"/>
      <c r="HC24" s="20"/>
      <c r="HD24" s="20"/>
      <c r="HE24" s="20"/>
      <c r="HF24" s="20"/>
      <c r="HG24" s="20"/>
      <c r="HH24" s="20"/>
      <c r="HI24" s="20"/>
      <c r="HJ24" s="20"/>
      <c r="HK24" s="20"/>
      <c r="HL24" s="20"/>
      <c r="HM24" s="20"/>
      <c r="HN24" s="20"/>
      <c r="HO24" s="20"/>
      <c r="HP24" s="20"/>
      <c r="HQ24" s="20"/>
      <c r="HR24" s="20"/>
      <c r="HS24" s="20"/>
      <c r="HT24" s="20"/>
      <c r="HU24" s="20"/>
      <c r="HV24" s="20"/>
      <c r="HW24" s="20"/>
      <c r="HX24" s="20"/>
      <c r="HY24" s="20"/>
      <c r="HZ24" s="20"/>
      <c r="IA24" s="20"/>
    </row>
    <row r="25" spans="1:235" s="21" customFormat="1" ht="16.5" customHeight="1">
      <c r="A25" s="45">
        <v>11</v>
      </c>
      <c r="B25" s="45" t="s">
        <v>105</v>
      </c>
      <c r="C25" s="45"/>
      <c r="D25" s="46" t="s">
        <v>85</v>
      </c>
      <c r="E25" s="47">
        <v>0.5</v>
      </c>
      <c r="F25" s="47">
        <v>0.1</v>
      </c>
      <c r="G25" s="47">
        <v>-0.05</v>
      </c>
      <c r="H25" s="48">
        <f t="shared" ref="H25" si="155">IF(OR(E25="",F25="",G25=""),"",IF(AND(E25="\",G25="\"),F25,IF(AND(E25="\",F25="\"),"",E25+F25)))</f>
        <v>0.6</v>
      </c>
      <c r="I25" s="48">
        <f t="shared" ref="I25" si="156">IF(OR(E25="",F25="",G25=""),"",IF(AND(E25="\",G25="\"),"",IF(AND(E25="\",F25="\"),G25,IF(AND(E25=0,G25="\"),0,E25+G25))))</f>
        <v>0.45</v>
      </c>
      <c r="J25" s="47">
        <v>0.52510000000000001</v>
      </c>
      <c r="K25" s="47">
        <v>0.51700000000000002</v>
      </c>
      <c r="L25" s="47">
        <v>0.50780000000000003</v>
      </c>
      <c r="M25" s="47">
        <v>0.50680000000000003</v>
      </c>
      <c r="N25" s="47">
        <v>0.52769999999999995</v>
      </c>
      <c r="O25" s="47">
        <v>0.50119999999999998</v>
      </c>
      <c r="P25" s="47">
        <v>0.50429999999999997</v>
      </c>
      <c r="Q25" s="47">
        <v>0.49380000000000002</v>
      </c>
      <c r="R25" s="47">
        <v>0.51859999999999995</v>
      </c>
      <c r="S25" s="47">
        <v>0.50229999999999997</v>
      </c>
      <c r="T25" s="47">
        <v>0.53190000000000004</v>
      </c>
      <c r="U25" s="47">
        <v>0.51259999999999994</v>
      </c>
      <c r="V25" s="47">
        <v>0.51580000000000004</v>
      </c>
      <c r="W25" s="47">
        <v>0.5101</v>
      </c>
      <c r="X25" s="47">
        <v>0.51819999999999999</v>
      </c>
      <c r="Y25" s="47">
        <v>0.5101</v>
      </c>
      <c r="Z25" s="47">
        <v>0.53269999999999995</v>
      </c>
      <c r="AA25" s="47">
        <v>0.51619999999999999</v>
      </c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9">
        <f t="shared" ref="DF25" ca="1" si="157">IF(J25="","",AVERAGE(INDIRECT(ADDRESS(ROW(J25),COLUMN(J25))&amp;":"&amp;ADDRESS(ROW(J25),9+$F$11))))</f>
        <v>0.51401111111111109</v>
      </c>
      <c r="DG25" s="86" t="str">
        <f t="shared" ref="DG25" ca="1" si="158">IF(AND(H25="",I25=""),"",IF($DR$12=1,DS25,DY25))</f>
        <v/>
      </c>
      <c r="DH25" s="127" t="str">
        <f t="shared" ref="DH25" ca="1" si="159">IF(AND(H25="",I25=""),"",IF($DR$12=1,DT25,DZ25))</f>
        <v/>
      </c>
      <c r="DI25" s="50" t="str">
        <f t="shared" ref="DI25" ca="1" si="160">IF(DF25="","",IF(AND(DG25="",DH25=""),"OK","NG"))</f>
        <v>OK</v>
      </c>
      <c r="DJ25" s="51" t="str">
        <f t="shared" ref="DJ25" ca="1" si="161">IF(OR(J25="",K25="",DI25=""),"",IF(ISNUMBER(FIND("CPK",$F$8)),STDEV(INDIRECT(ADDRESS(ROW(J25),COLUMN(J25))&amp;":"&amp;ADDRESS(ROW(J25),9+$F$11))),""))</f>
        <v/>
      </c>
      <c r="DK25" s="52" t="str">
        <f t="shared" ref="DK25" ca="1" si="162">IF(DJ25="","",IF(G25="\",DU25,IF(F25="\",DV25,(H25-I25)/(6*DJ25))))</f>
        <v/>
      </c>
      <c r="DL25" s="52" t="str">
        <f t="shared" ref="DL25" ca="1" si="163">IF(DK25="","",IF(G25="\",DU25,IF(F25="\",DV25,MIN(DU25,DV25))))</f>
        <v/>
      </c>
      <c r="DM25" s="84" t="str">
        <f t="shared" ref="DM25" ca="1" si="164">IF(DK25="","",IF(H25="","",IF(I25="","",DF25-(H25+I25)/2)))</f>
        <v/>
      </c>
      <c r="DN25" s="133" t="s">
        <v>90</v>
      </c>
      <c r="DO25" s="81"/>
      <c r="DP25" s="137"/>
      <c r="DQ25" s="138"/>
      <c r="DR25" s="98">
        <f t="shared" ref="DR25" si="165">IF(A25="","",1)</f>
        <v>1</v>
      </c>
      <c r="DS25" s="120" t="str">
        <f t="shared" ref="DS25" ca="1" si="166">IF(DF25="","",IF(H25="","",IF(EA25&gt;H25,(EA25-H25)/EE25,"")))</f>
        <v/>
      </c>
      <c r="DT25" s="120" t="str">
        <f t="shared" ref="DT25" ca="1" si="167">IF(DF25="","",IF(I25="","",IF(EB25&lt;I25,(EB25-I25)/EE25,"")))</f>
        <v/>
      </c>
      <c r="DU25" s="120" t="e">
        <f t="shared" ref="DU25" ca="1" si="168">IF(H25="","",(H25-DF25)/3/DJ25)</f>
        <v>#VALUE!</v>
      </c>
      <c r="DV25" s="120" t="e">
        <f t="shared" ref="DV25" ca="1" si="169">IF(I25="","",(DF25-I25)/3/DJ25)</f>
        <v>#VALUE!</v>
      </c>
      <c r="DW25" s="120">
        <f t="shared" ref="DW25" si="170">IF(H25="","",IF(I25="",H25*0.8,IF(AND(H25&lt;&gt;"",I25&lt;&gt;""),(H25+I25)/2)+(H25-I25)/2.5))</f>
        <v>0.58499999999999996</v>
      </c>
      <c r="DX25" s="120">
        <f t="shared" ref="DX25" si="171">IF(I25="","",IF(H25="",I25*1.2,IF(I25="","",IF(AND(H25&lt;&gt;"",I25&lt;&gt;""),(H25+I25)/2)-(H25-I25)/2.5)))</f>
        <v>0.46500000000000002</v>
      </c>
      <c r="DY25" s="121" t="str">
        <f t="shared" ref="DY25" ca="1" si="172">IF(DF25="","",IF(H25="","",IF(EA25&gt;H25,EA25-H25,"")))</f>
        <v/>
      </c>
      <c r="DZ25" s="121" t="str">
        <f t="shared" ref="DZ25" ca="1" si="173">IF(DF25="","",IF(I25="","",IF(EB25&lt;I25,EB25-I25,"")))</f>
        <v/>
      </c>
      <c r="EA25" s="121">
        <f t="shared" ref="EA25" ca="1" si="174">MAX(INDIRECT(ADDRESS(ROW(J25),COLUMN(J25))&amp;":"&amp;ADDRESS(ROW(J25),9+$F$11)))</f>
        <v>0.53269999999999995</v>
      </c>
      <c r="EB25" s="117">
        <f t="shared" ref="EB25" ca="1" si="175">MIN(INDIRECT(ADDRESS(ROW(J25),COLUMN(J25))&amp;":"&amp;ADDRESS(ROW(J25),9+$F$11)))</f>
        <v>0.49380000000000002</v>
      </c>
      <c r="EC25" s="122">
        <f t="shared" ref="EC25" si="176">IF(AND(H25="",I25=""),"",IF(H25="",99999,H25))</f>
        <v>0.6</v>
      </c>
      <c r="ED25" s="122">
        <f t="shared" ref="ED25" si="177">IF(AND(H25="",I25=""),"",IF(I25="",-99999,I25))</f>
        <v>0.45</v>
      </c>
      <c r="EE25" s="122">
        <f t="shared" ref="EE25" si="178">ABS(IF(H25="",I25,IF(I25="",H25,H25-I25)))</f>
        <v>0.14999999999999997</v>
      </c>
      <c r="EF25" s="118"/>
      <c r="EG25" s="114"/>
      <c r="EH25" s="114"/>
      <c r="EI25" s="114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  <c r="HW25" s="20"/>
      <c r="HX25" s="20"/>
      <c r="HY25" s="20"/>
      <c r="HZ25" s="20"/>
      <c r="IA25" s="20"/>
    </row>
    <row r="26" spans="1:235" s="21" customFormat="1" ht="16.5" customHeight="1">
      <c r="A26" s="45">
        <v>12</v>
      </c>
      <c r="B26" s="45" t="s">
        <v>106</v>
      </c>
      <c r="C26" s="45"/>
      <c r="D26" s="46" t="s">
        <v>85</v>
      </c>
      <c r="E26" s="47">
        <v>14.5</v>
      </c>
      <c r="F26" s="47">
        <v>0.2</v>
      </c>
      <c r="G26" s="47">
        <v>-0.2</v>
      </c>
      <c r="H26" s="48">
        <f t="shared" ref="H26" si="179">IF(OR(E26="",F26="",G26=""),"",IF(AND(E26="\",G26="\"),F26,IF(AND(E26="\",F26="\"),"",E26+F26)))</f>
        <v>14.7</v>
      </c>
      <c r="I26" s="48">
        <f t="shared" ref="I26" si="180">IF(OR(E26="",F26="",G26=""),"",IF(AND(E26="\",G26="\"),"",IF(AND(E26="\",F26="\"),G26,IF(AND(E26=0,G26="\"),0,E26+G26))))</f>
        <v>14.3</v>
      </c>
      <c r="J26" s="47">
        <v>14.548299999999999</v>
      </c>
      <c r="K26" s="47">
        <v>14.5383</v>
      </c>
      <c r="L26" s="47">
        <v>14.561999999999999</v>
      </c>
      <c r="M26" s="47">
        <v>14.639699999999999</v>
      </c>
      <c r="N26" s="47">
        <v>14.6351</v>
      </c>
      <c r="O26" s="47">
        <v>14.635400000000001</v>
      </c>
      <c r="P26" s="47">
        <v>14.573399999999999</v>
      </c>
      <c r="Q26" s="47">
        <v>14.5883</v>
      </c>
      <c r="R26" s="47">
        <v>14.588900000000001</v>
      </c>
      <c r="S26" s="47">
        <v>14.642099999999999</v>
      </c>
      <c r="T26" s="47">
        <v>14.645099999999999</v>
      </c>
      <c r="U26" s="47">
        <v>14.6465</v>
      </c>
      <c r="V26" s="47">
        <v>14.5701</v>
      </c>
      <c r="W26" s="47">
        <v>14.549799999999999</v>
      </c>
      <c r="X26" s="47">
        <v>14.581</v>
      </c>
      <c r="Y26" s="47">
        <v>14.647600000000001</v>
      </c>
      <c r="Z26" s="47">
        <v>14.6614</v>
      </c>
      <c r="AA26" s="47">
        <v>14.6614</v>
      </c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9">
        <f t="shared" ref="DF26" ca="1" si="181">IF(J26="","",AVERAGE(INDIRECT(ADDRESS(ROW(J26),COLUMN(J26))&amp;":"&amp;ADDRESS(ROW(J26),9+$F$11))))</f>
        <v>14.606355555555556</v>
      </c>
      <c r="DG26" s="86" t="str">
        <f t="shared" ref="DG26" ca="1" si="182">IF(AND(H26="",I26=""),"",IF($DR$12=1,DS26,DY26))</f>
        <v/>
      </c>
      <c r="DH26" s="127" t="str">
        <f t="shared" ref="DH26" ca="1" si="183">IF(AND(H26="",I26=""),"",IF($DR$12=1,DT26,DZ26))</f>
        <v/>
      </c>
      <c r="DI26" s="50" t="str">
        <f t="shared" ref="DI26" ca="1" si="184">IF(DF26="","",IF(AND(DG26="",DH26=""),"OK","NG"))</f>
        <v>OK</v>
      </c>
      <c r="DJ26" s="51" t="str">
        <f t="shared" ref="DJ26" ca="1" si="185">IF(OR(J26="",K26="",DI26=""),"",IF(ISNUMBER(FIND("CPK",$F$8)),STDEV(INDIRECT(ADDRESS(ROW(J26),COLUMN(J26))&amp;":"&amp;ADDRESS(ROW(J26),9+$F$11))),""))</f>
        <v/>
      </c>
      <c r="DK26" s="52" t="str">
        <f t="shared" ref="DK26" ca="1" si="186">IF(DJ26="","",IF(G26="\",DU26,IF(F26="\",DV26,(H26-I26)/(6*DJ26))))</f>
        <v/>
      </c>
      <c r="DL26" s="52" t="str">
        <f t="shared" ref="DL26" ca="1" si="187">IF(DK26="","",IF(G26="\",DU26,IF(F26="\",DV26,MIN(DU26,DV26))))</f>
        <v/>
      </c>
      <c r="DM26" s="84" t="str">
        <f t="shared" ref="DM26" ca="1" si="188">IF(DK26="","",IF(H26="","",IF(I26="","",DF26-(H26+I26)/2)))</f>
        <v/>
      </c>
      <c r="DN26" s="133"/>
      <c r="DO26" s="81"/>
      <c r="DP26" s="137"/>
      <c r="DQ26" s="138"/>
      <c r="DR26" s="98">
        <f t="shared" ref="DR26" si="189">IF(A26="","",1)</f>
        <v>1</v>
      </c>
      <c r="DS26" s="120" t="str">
        <f t="shared" ref="DS26" ca="1" si="190">IF(DF26="","",IF(H26="","",IF(EA26&gt;H26,(EA26-H26)/EE26,"")))</f>
        <v/>
      </c>
      <c r="DT26" s="120" t="str">
        <f t="shared" ref="DT26" ca="1" si="191">IF(DF26="","",IF(I26="","",IF(EB26&lt;I26,(EB26-I26)/EE26,"")))</f>
        <v/>
      </c>
      <c r="DU26" s="120" t="e">
        <f t="shared" ref="DU26" ca="1" si="192">IF(H26="","",(H26-DF26)/3/DJ26)</f>
        <v>#VALUE!</v>
      </c>
      <c r="DV26" s="120" t="e">
        <f t="shared" ref="DV26" ca="1" si="193">IF(I26="","",(DF26-I26)/3/DJ26)</f>
        <v>#VALUE!</v>
      </c>
      <c r="DW26" s="120">
        <f t="shared" ref="DW26" si="194">IF(H26="","",IF(I26="",H26*0.8,IF(AND(H26&lt;&gt;"",I26&lt;&gt;""),(H26+I26)/2)+(H26-I26)/2.5))</f>
        <v>14.66</v>
      </c>
      <c r="DX26" s="120">
        <f t="shared" ref="DX26" si="195">IF(I26="","",IF(H26="",I26*1.2,IF(I26="","",IF(AND(H26&lt;&gt;"",I26&lt;&gt;""),(H26+I26)/2)-(H26-I26)/2.5)))</f>
        <v>14.34</v>
      </c>
      <c r="DY26" s="121" t="str">
        <f t="shared" ref="DY26" ca="1" si="196">IF(DF26="","",IF(H26="","",IF(EA26&gt;H26,EA26-H26,"")))</f>
        <v/>
      </c>
      <c r="DZ26" s="121" t="str">
        <f t="shared" ref="DZ26" ca="1" si="197">IF(DF26="","",IF(I26="","",IF(EB26&lt;I26,EB26-I26,"")))</f>
        <v/>
      </c>
      <c r="EA26" s="121">
        <f t="shared" ref="EA26" ca="1" si="198">MAX(INDIRECT(ADDRESS(ROW(J26),COLUMN(J26))&amp;":"&amp;ADDRESS(ROW(J26),9+$F$11)))</f>
        <v>14.6614</v>
      </c>
      <c r="EB26" s="117">
        <f t="shared" ref="EB26" ca="1" si="199">MIN(INDIRECT(ADDRESS(ROW(J26),COLUMN(J26))&amp;":"&amp;ADDRESS(ROW(J26),9+$F$11)))</f>
        <v>14.5383</v>
      </c>
      <c r="EC26" s="122">
        <f t="shared" ref="EC26" si="200">IF(AND(H26="",I26=""),"",IF(H26="",99999,H26))</f>
        <v>14.7</v>
      </c>
      <c r="ED26" s="122">
        <f t="shared" ref="ED26" si="201">IF(AND(H26="",I26=""),"",IF(I26="",-99999,I26))</f>
        <v>14.3</v>
      </c>
      <c r="EE26" s="122">
        <f t="shared" ref="EE26" si="202">ABS(IF(H26="",I26,IF(I26="",H26,H26-I26)))</f>
        <v>0.39999999999999858</v>
      </c>
      <c r="EF26" s="118"/>
      <c r="EG26" s="114"/>
      <c r="EH26" s="114"/>
      <c r="EI26" s="114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  <c r="HW26" s="20"/>
      <c r="HX26" s="20"/>
      <c r="HY26" s="20"/>
      <c r="HZ26" s="20"/>
      <c r="IA26" s="20"/>
    </row>
    <row r="27" spans="1:235" s="21" customFormat="1" ht="16.5" customHeight="1">
      <c r="A27" s="45">
        <v>13</v>
      </c>
      <c r="B27" s="45" t="s">
        <v>107</v>
      </c>
      <c r="C27" s="45"/>
      <c r="D27" s="46" t="s">
        <v>85</v>
      </c>
      <c r="E27" s="47">
        <v>32.5</v>
      </c>
      <c r="F27" s="47">
        <v>0.2</v>
      </c>
      <c r="G27" s="47">
        <v>-0.2</v>
      </c>
      <c r="H27" s="48">
        <f t="shared" ref="H27" si="203">IF(OR(E27="",F27="",G27=""),"",IF(AND(E27="\",G27="\"),F27,IF(AND(E27="\",F27="\"),"",E27+F27)))</f>
        <v>32.700000000000003</v>
      </c>
      <c r="I27" s="48">
        <f t="shared" ref="I27" si="204">IF(OR(E27="",F27="",G27=""),"",IF(AND(E27="\",G27="\"),"",IF(AND(E27="\",F27="\"),G27,IF(AND(E27=0,G27="\"),0,E27+G27))))</f>
        <v>32.299999999999997</v>
      </c>
      <c r="J27" s="47">
        <v>32.4709</v>
      </c>
      <c r="K27" s="47">
        <v>32.4589</v>
      </c>
      <c r="L27" s="47">
        <v>32.456600000000002</v>
      </c>
      <c r="M27" s="47">
        <v>32.602499999999999</v>
      </c>
      <c r="N27" s="47">
        <v>32.629800000000003</v>
      </c>
      <c r="O27" s="47">
        <v>32.614199999999997</v>
      </c>
      <c r="P27" s="47">
        <v>32.467199999999998</v>
      </c>
      <c r="Q27" s="47">
        <v>32.478099999999998</v>
      </c>
      <c r="R27" s="47">
        <v>32.495100000000001</v>
      </c>
      <c r="S27" s="47">
        <v>32.609900000000003</v>
      </c>
      <c r="T27" s="47">
        <v>32.605400000000003</v>
      </c>
      <c r="U27" s="47">
        <v>32.620100000000001</v>
      </c>
      <c r="V27" s="47">
        <v>32.464599999999997</v>
      </c>
      <c r="W27" s="47">
        <v>32.464100000000002</v>
      </c>
      <c r="X27" s="47">
        <v>32.468400000000003</v>
      </c>
      <c r="Y27" s="47">
        <v>32.613300000000002</v>
      </c>
      <c r="Z27" s="47">
        <v>32.614899999999999</v>
      </c>
      <c r="AA27" s="47">
        <v>32.6175</v>
      </c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9">
        <f t="shared" ref="DF27" ca="1" si="205">IF(J27="","",AVERAGE(INDIRECT(ADDRESS(ROW(J27),COLUMN(J27))&amp;":"&amp;ADDRESS(ROW(J27),9+$F$11))))</f>
        <v>32.541749999999993</v>
      </c>
      <c r="DG27" s="86" t="str">
        <f t="shared" ref="DG27" ca="1" si="206">IF(AND(H27="",I27=""),"",IF($DR$12=1,DS27,DY27))</f>
        <v/>
      </c>
      <c r="DH27" s="127" t="str">
        <f t="shared" ref="DH27" ca="1" si="207">IF(AND(H27="",I27=""),"",IF($DR$12=1,DT27,DZ27))</f>
        <v/>
      </c>
      <c r="DI27" s="50" t="str">
        <f t="shared" ref="DI27" ca="1" si="208">IF(DF27="","",IF(AND(DG27="",DH27=""),"OK","NG"))</f>
        <v>OK</v>
      </c>
      <c r="DJ27" s="51" t="str">
        <f t="shared" ref="DJ27" ca="1" si="209">IF(OR(J27="",K27="",DI27=""),"",IF(ISNUMBER(FIND("CPK",$F$8)),STDEV(INDIRECT(ADDRESS(ROW(J27),COLUMN(J27))&amp;":"&amp;ADDRESS(ROW(J27),9+$F$11))),""))</f>
        <v/>
      </c>
      <c r="DK27" s="52" t="str">
        <f t="shared" ref="DK27" ca="1" si="210">IF(DJ27="","",IF(G27="\",DU27,IF(F27="\",DV27,(H27-I27)/(6*DJ27))))</f>
        <v/>
      </c>
      <c r="DL27" s="52" t="str">
        <f t="shared" ref="DL27" ca="1" si="211">IF(DK27="","",IF(G27="\",DU27,IF(F27="\",DV27,MIN(DU27,DV27))))</f>
        <v/>
      </c>
      <c r="DM27" s="84" t="str">
        <f t="shared" ref="DM27" ca="1" si="212">IF(DK27="","",IF(H27="","",IF(I27="","",DF27-(H27+I27)/2)))</f>
        <v/>
      </c>
      <c r="DN27" s="133"/>
      <c r="DO27" s="81"/>
      <c r="DP27" s="137"/>
      <c r="DQ27" s="138"/>
      <c r="DR27" s="98">
        <f t="shared" ref="DR27" si="213">IF(A27="","",1)</f>
        <v>1</v>
      </c>
      <c r="DS27" s="120" t="str">
        <f t="shared" ref="DS27" ca="1" si="214">IF(DF27="","",IF(H27="","",IF(EA27&gt;H27,(EA27-H27)/EE27,"")))</f>
        <v/>
      </c>
      <c r="DT27" s="120" t="str">
        <f t="shared" ref="DT27" ca="1" si="215">IF(DF27="","",IF(I27="","",IF(EB27&lt;I27,(EB27-I27)/EE27,"")))</f>
        <v/>
      </c>
      <c r="DU27" s="120" t="e">
        <f t="shared" ref="DU27" ca="1" si="216">IF(H27="","",(H27-DF27)/3/DJ27)</f>
        <v>#VALUE!</v>
      </c>
      <c r="DV27" s="120" t="e">
        <f t="shared" ref="DV27" ca="1" si="217">IF(I27="","",(DF27-I27)/3/DJ27)</f>
        <v>#VALUE!</v>
      </c>
      <c r="DW27" s="120">
        <f t="shared" ref="DW27" si="218">IF(H27="","",IF(I27="",H27*0.8,IF(AND(H27&lt;&gt;"",I27&lt;&gt;""),(H27+I27)/2)+(H27-I27)/2.5))</f>
        <v>32.660000000000004</v>
      </c>
      <c r="DX27" s="120">
        <f t="shared" ref="DX27" si="219">IF(I27="","",IF(H27="",I27*1.2,IF(I27="","",IF(AND(H27&lt;&gt;"",I27&lt;&gt;""),(H27+I27)/2)-(H27-I27)/2.5)))</f>
        <v>32.339999999999996</v>
      </c>
      <c r="DY27" s="121" t="str">
        <f t="shared" ref="DY27" ca="1" si="220">IF(DF27="","",IF(H27="","",IF(EA27&gt;H27,EA27-H27,"")))</f>
        <v/>
      </c>
      <c r="DZ27" s="121" t="str">
        <f t="shared" ref="DZ27" ca="1" si="221">IF(DF27="","",IF(I27="","",IF(EB27&lt;I27,EB27-I27,"")))</f>
        <v/>
      </c>
      <c r="EA27" s="121">
        <f t="shared" ref="EA27" ca="1" si="222">MAX(INDIRECT(ADDRESS(ROW(J27),COLUMN(J27))&amp;":"&amp;ADDRESS(ROW(J27),9+$F$11)))</f>
        <v>32.629800000000003</v>
      </c>
      <c r="EB27" s="117">
        <f t="shared" ref="EB27" ca="1" si="223">MIN(INDIRECT(ADDRESS(ROW(J27),COLUMN(J27))&amp;":"&amp;ADDRESS(ROW(J27),9+$F$11)))</f>
        <v>32.456600000000002</v>
      </c>
      <c r="EC27" s="122">
        <f t="shared" ref="EC27" si="224">IF(AND(H27="",I27=""),"",IF(H27="",99999,H27))</f>
        <v>32.700000000000003</v>
      </c>
      <c r="ED27" s="122">
        <f t="shared" ref="ED27" si="225">IF(AND(H27="",I27=""),"",IF(I27="",-99999,I27))</f>
        <v>32.299999999999997</v>
      </c>
      <c r="EE27" s="122">
        <f t="shared" ref="EE27" si="226">ABS(IF(H27="",I27,IF(I27="",H27,H27-I27)))</f>
        <v>0.40000000000000568</v>
      </c>
      <c r="EF27" s="118"/>
      <c r="EG27" s="114"/>
      <c r="EH27" s="114"/>
      <c r="EI27" s="114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  <c r="HW27" s="20"/>
      <c r="HX27" s="20"/>
      <c r="HY27" s="20"/>
      <c r="HZ27" s="20"/>
      <c r="IA27" s="20"/>
    </row>
    <row r="28" spans="1:235" s="21" customFormat="1" ht="16.5" customHeight="1">
      <c r="A28" s="45"/>
      <c r="B28" s="45"/>
      <c r="C28" s="45"/>
      <c r="D28" s="46"/>
      <c r="E28" s="47"/>
      <c r="F28" s="47"/>
      <c r="G28" s="47"/>
      <c r="H28" s="48" t="str">
        <f t="shared" ref="H28" si="227">IF(OR(E28="",F28="",G28=""),"",IF(AND(E28="\",G28="\"),F28,IF(AND(E28="\",F28="\"),"",E28+F28)))</f>
        <v/>
      </c>
      <c r="I28" s="48" t="str">
        <f t="shared" ref="I28" si="228">IF(OR(E28="",F28="",G28=""),"",IF(AND(E28="\",G28="\"),"",IF(AND(E28="\",F28="\"),G28,IF(AND(E28=0,G28="\"),0,E28+G28))))</f>
        <v/>
      </c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  <c r="BS28" s="47"/>
      <c r="BT28" s="47"/>
      <c r="BU28" s="47"/>
      <c r="BV28" s="47"/>
      <c r="BW28" s="47"/>
      <c r="BX28" s="47"/>
      <c r="BY28" s="47"/>
      <c r="BZ28" s="47"/>
      <c r="CA28" s="47"/>
      <c r="CB28" s="47"/>
      <c r="CC28" s="47"/>
      <c r="CD28" s="47"/>
      <c r="CE28" s="47"/>
      <c r="CF28" s="47"/>
      <c r="CG28" s="47"/>
      <c r="CH28" s="47"/>
      <c r="CI28" s="47"/>
      <c r="CJ28" s="47"/>
      <c r="CK28" s="47"/>
      <c r="CL28" s="47"/>
      <c r="CM28" s="47"/>
      <c r="CN28" s="47"/>
      <c r="CO28" s="47"/>
      <c r="CP28" s="47"/>
      <c r="CQ28" s="47"/>
      <c r="CR28" s="47"/>
      <c r="CS28" s="47"/>
      <c r="CT28" s="47"/>
      <c r="CU28" s="47"/>
      <c r="CV28" s="47"/>
      <c r="CW28" s="47"/>
      <c r="CX28" s="47"/>
      <c r="CY28" s="47"/>
      <c r="CZ28" s="47"/>
      <c r="DA28" s="47"/>
      <c r="DB28" s="47"/>
      <c r="DC28" s="47"/>
      <c r="DD28" s="47"/>
      <c r="DE28" s="47"/>
      <c r="DF28" s="49" t="str">
        <f t="shared" ref="DF28" ca="1" si="229">IF(J28="","",AVERAGE(INDIRECT(ADDRESS(ROW(J28),COLUMN(J28))&amp;":"&amp;ADDRESS(ROW(J28),9+$F$11))))</f>
        <v/>
      </c>
      <c r="DG28" s="86" t="str">
        <f t="shared" ref="DG28" si="230">IF(AND(H28="",I28=""),"",IF($DR$12=1,DS28,DY28))</f>
        <v/>
      </c>
      <c r="DH28" s="127" t="str">
        <f t="shared" ref="DH28" si="231">IF(AND(H28="",I28=""),"",IF($DR$12=1,DT28,DZ28))</f>
        <v/>
      </c>
      <c r="DI28" s="50" t="str">
        <f t="shared" ref="DI28" ca="1" si="232">IF(DF28="","",IF(AND(DG28="",DH28=""),"OK","NG"))</f>
        <v/>
      </c>
      <c r="DJ28" s="51" t="str">
        <f t="shared" ref="DJ28" ca="1" si="233">IF(OR(J28="",K28="",DI28=""),"",IF(ISNUMBER(FIND("CPK",$F$8)),STDEV(INDIRECT(ADDRESS(ROW(J28),COLUMN(J28))&amp;":"&amp;ADDRESS(ROW(J28),9+$F$11))),""))</f>
        <v/>
      </c>
      <c r="DK28" s="52" t="str">
        <f t="shared" ref="DK28" ca="1" si="234">IF(DJ28="","",IF(G28="\",DU28,IF(F28="\",DV28,(H28-I28)/(6*DJ28))))</f>
        <v/>
      </c>
      <c r="DL28" s="52" t="str">
        <f t="shared" ref="DL28" ca="1" si="235">IF(DK28="","",IF(G28="\",DU28,IF(F28="\",DV28,MIN(DU28,DV28))))</f>
        <v/>
      </c>
      <c r="DM28" s="84" t="str">
        <f t="shared" ref="DM28" ca="1" si="236">IF(DK28="","",IF(H28="","",IF(I28="","",DF28-(H28+I28)/2)))</f>
        <v/>
      </c>
      <c r="DN28" s="133"/>
      <c r="DO28" s="81"/>
      <c r="DP28" s="137"/>
      <c r="DQ28" s="138"/>
      <c r="DR28" s="98" t="str">
        <f t="shared" ref="DR28" si="237">IF(A28="","",1)</f>
        <v/>
      </c>
      <c r="DS28" s="120" t="str">
        <f t="shared" ref="DS28" ca="1" si="238">IF(DF28="","",IF(H28="","",IF(EA28&gt;H28,(EA28-H28)/EE28,"")))</f>
        <v/>
      </c>
      <c r="DT28" s="120" t="str">
        <f t="shared" ref="DT28" ca="1" si="239">IF(DF28="","",IF(I28="","",IF(EB28&lt;I28,(EB28-I28)/EE28,"")))</f>
        <v/>
      </c>
      <c r="DU28" s="120" t="str">
        <f t="shared" ref="DU28" si="240">IF(H28="","",(H28-DF28)/3/DJ28)</f>
        <v/>
      </c>
      <c r="DV28" s="120" t="str">
        <f t="shared" ref="DV28" si="241">IF(I28="","",(DF28-I28)/3/DJ28)</f>
        <v/>
      </c>
      <c r="DW28" s="120" t="str">
        <f t="shared" ref="DW28" si="242">IF(H28="","",IF(I28="",H28*0.8,IF(AND(H28&lt;&gt;"",I28&lt;&gt;""),(H28+I28)/2)+(H28-I28)/2.5))</f>
        <v/>
      </c>
      <c r="DX28" s="120" t="str">
        <f t="shared" ref="DX28" si="243">IF(I28="","",IF(H28="",I28*1.2,IF(I28="","",IF(AND(H28&lt;&gt;"",I28&lt;&gt;""),(H28+I28)/2)-(H28-I28)/2.5)))</f>
        <v/>
      </c>
      <c r="DY28" s="121" t="str">
        <f t="shared" ref="DY28" ca="1" si="244">IF(DF28="","",IF(H28="","",IF(EA28&gt;H28,EA28-H28,"")))</f>
        <v/>
      </c>
      <c r="DZ28" s="121" t="str">
        <f t="shared" ref="DZ28" ca="1" si="245">IF(DF28="","",IF(I28="","",IF(EB28&lt;I28,EB28-I28,"")))</f>
        <v/>
      </c>
      <c r="EA28" s="121">
        <f t="shared" ref="EA28" ca="1" si="246">MAX(INDIRECT(ADDRESS(ROW(J28),COLUMN(J28))&amp;":"&amp;ADDRESS(ROW(J28),9+$F$11)))</f>
        <v>0</v>
      </c>
      <c r="EB28" s="117">
        <f t="shared" ref="EB28" ca="1" si="247">MIN(INDIRECT(ADDRESS(ROW(J28),COLUMN(J28))&amp;":"&amp;ADDRESS(ROW(J28),9+$F$11)))</f>
        <v>0</v>
      </c>
      <c r="EC28" s="122" t="str">
        <f t="shared" ref="EC28" si="248">IF(AND(H28="",I28=""),"",IF(H28="",99999,H28))</f>
        <v/>
      </c>
      <c r="ED28" s="122" t="str">
        <f t="shared" ref="ED28" si="249">IF(AND(H28="",I28=""),"",IF(I28="",-99999,I28))</f>
        <v/>
      </c>
      <c r="EE28" s="122" t="e">
        <f t="shared" ref="EE28" si="250">ABS(IF(H28="",I28,IF(I28="",H28,H28-I28)))</f>
        <v>#VALUE!</v>
      </c>
      <c r="EF28" s="118"/>
      <c r="EG28" s="114"/>
      <c r="EH28" s="114"/>
      <c r="EI28" s="114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  <c r="HW28" s="20"/>
      <c r="HX28" s="20"/>
      <c r="HY28" s="20"/>
      <c r="HZ28" s="20"/>
      <c r="IA28" s="20"/>
    </row>
    <row r="29" spans="1:235" s="7" customFormat="1" ht="16.5" customHeight="1">
      <c r="A29" s="2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4"/>
      <c r="DH29" s="24"/>
      <c r="DI29" s="25"/>
      <c r="DJ29" s="23"/>
      <c r="DK29" s="23"/>
      <c r="DL29" s="23"/>
      <c r="DM29" s="23"/>
      <c r="DN29" s="23"/>
      <c r="DO29" s="23"/>
      <c r="DP29" s="23"/>
      <c r="DQ29" s="23"/>
      <c r="DR29" s="89"/>
      <c r="DS29" s="112"/>
      <c r="DT29" s="123"/>
      <c r="DU29" s="124"/>
      <c r="DV29" s="124"/>
      <c r="DW29" s="89"/>
      <c r="DX29" s="89"/>
      <c r="DY29" s="125"/>
      <c r="DZ29" s="125"/>
      <c r="EA29" s="89"/>
      <c r="EB29" s="89"/>
      <c r="EC29" s="89"/>
      <c r="ED29" s="89"/>
      <c r="EE29" s="90"/>
      <c r="EF29" s="90"/>
      <c r="EG29" s="90"/>
      <c r="EH29" s="90"/>
      <c r="EI29" s="90"/>
      <c r="EJ29" s="85"/>
      <c r="EK29" s="85"/>
      <c r="EL29" s="85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</row>
    <row r="30" spans="1:235" ht="16.5" customHeight="1">
      <c r="K30" s="26"/>
    </row>
  </sheetData>
  <sheetProtection password="8E7F" sheet="1" objects="1" scenarios="1" formatColumns="0" formatRows="0" selectLockedCells="1" autoFilter="0"/>
  <protectedRanges>
    <protectedRange sqref="E10:G11 DJ9:DN11 DO10:DQ11 DU8:DV11 DW6:DX11 F9:G9 E5:G8 H10 DR13:DT15 J6:M11 O6:DF11 N6:N7 N9:N11 H6 DO14:DQ16 DO17:DR24 DO9:DR9 DS9:DS10 DO7:DS8 DS6 DR16 DS16:DT24 DO25:DT28 J15:DE28 A15:G28" name="区域1"/>
    <protectedRange sqref="H7" name="区域1_1"/>
  </protectedRanges>
  <autoFilter ref="DI14:DI25"/>
  <mergeCells count="60">
    <mergeCell ref="DP22:DQ22"/>
    <mergeCell ref="DP23:DQ23"/>
    <mergeCell ref="DP24:DQ24"/>
    <mergeCell ref="DP25:DQ25"/>
    <mergeCell ref="DP26:DQ26"/>
    <mergeCell ref="F7:G7"/>
    <mergeCell ref="DI7:DJ7"/>
    <mergeCell ref="DK8:DL8"/>
    <mergeCell ref="DK7:DL7"/>
    <mergeCell ref="B8:D8"/>
    <mergeCell ref="F8:G8"/>
    <mergeCell ref="DI8:DJ8"/>
    <mergeCell ref="B7:D7"/>
    <mergeCell ref="DF13:DF14"/>
    <mergeCell ref="DG13:DG14"/>
    <mergeCell ref="DH13:DH14"/>
    <mergeCell ref="DO12:DQ12"/>
    <mergeCell ref="B6:D6"/>
    <mergeCell ref="F6:G6"/>
    <mergeCell ref="DI6:DJ6"/>
    <mergeCell ref="DK6:DL6"/>
    <mergeCell ref="DM6:DN6"/>
    <mergeCell ref="B11:D11"/>
    <mergeCell ref="F11:G11"/>
    <mergeCell ref="DI11:DL11"/>
    <mergeCell ref="DJ12:DM12"/>
    <mergeCell ref="DM7:DN11"/>
    <mergeCell ref="B9:D9"/>
    <mergeCell ref="F9:G9"/>
    <mergeCell ref="H1:DF2"/>
    <mergeCell ref="B5:D5"/>
    <mergeCell ref="F5:G5"/>
    <mergeCell ref="I5:DE5"/>
    <mergeCell ref="DL5:DM5"/>
    <mergeCell ref="DI9:DJ9"/>
    <mergeCell ref="DK9:DL9"/>
    <mergeCell ref="B10:D10"/>
    <mergeCell ref="F10:G10"/>
    <mergeCell ref="DI10:DL10"/>
    <mergeCell ref="A13:A14"/>
    <mergeCell ref="B13:B14"/>
    <mergeCell ref="C13:C14"/>
    <mergeCell ref="D13:D14"/>
    <mergeCell ref="E13:I13"/>
    <mergeCell ref="DP27:DQ27"/>
    <mergeCell ref="DP28:DQ28"/>
    <mergeCell ref="DJ13:DJ14"/>
    <mergeCell ref="DK13:DK14"/>
    <mergeCell ref="DL13:DL14"/>
    <mergeCell ref="DM13:DM14"/>
    <mergeCell ref="DP16:DQ16"/>
    <mergeCell ref="DO13:DO14"/>
    <mergeCell ref="DP13:DQ14"/>
    <mergeCell ref="DP15:DQ15"/>
    <mergeCell ref="DN13:DN14"/>
    <mergeCell ref="DP18:DQ18"/>
    <mergeCell ref="DP19:DQ19"/>
    <mergeCell ref="DP20:DQ20"/>
    <mergeCell ref="DP21:DQ21"/>
    <mergeCell ref="DP17:DQ17"/>
  </mergeCells>
  <phoneticPr fontId="3" type="noConversion"/>
  <conditionalFormatting sqref="DK7">
    <cfRule type="cellIs" dxfId="107" priority="12957" stopIfTrue="1" operator="lessThan">
      <formula>0.9</formula>
    </cfRule>
    <cfRule type="cellIs" dxfId="106" priority="12958" stopIfTrue="1" operator="between">
      <formula>0.9</formula>
      <formula>0.9999999999</formula>
    </cfRule>
    <cfRule type="cellIs" dxfId="105" priority="12959" stopIfTrue="1" operator="equal">
      <formula>1</formula>
    </cfRule>
  </conditionalFormatting>
  <conditionalFormatting sqref="J11:DE11">
    <cfRule type="cellIs" dxfId="104" priority="12926" stopIfTrue="1" operator="equal">
      <formula>"NG"</formula>
    </cfRule>
    <cfRule type="cellIs" dxfId="103" priority="12927" stopIfTrue="1" operator="equal">
      <formula>"OK"</formula>
    </cfRule>
  </conditionalFormatting>
  <conditionalFormatting sqref="DO15:DO16">
    <cfRule type="cellIs" dxfId="102" priority="12961" stopIfTrue="1" operator="equal">
      <formula>"修模改善"</formula>
    </cfRule>
    <cfRule type="expression" dxfId="101" priority="12962" stopIfTrue="1">
      <formula>OR(DO15="调机改善",DO15="工艺变更")</formula>
    </cfRule>
    <cfRule type="expression" dxfId="100" priority="12963" stopIfTrue="1">
      <formula>OR(DO15="复测尺寸",DO15="量测变更")</formula>
    </cfRule>
  </conditionalFormatting>
  <conditionalFormatting sqref="DM7:DN11">
    <cfRule type="cellIs" dxfId="99" priority="12952" stopIfTrue="1" operator="equal">
      <formula>"NG"</formula>
    </cfRule>
    <cfRule type="cellIs" dxfId="98" priority="12953" stopIfTrue="1" operator="equal">
      <formula>"OK"</formula>
    </cfRule>
  </conditionalFormatting>
  <conditionalFormatting sqref="DI13:DI14 A13:D13 A14 D14 EB13:IT13 DJ13:DN13 DU13:EA14 EC14:EE14 EG14:IT14 F14:I14 K13:DE14">
    <cfRule type="cellIs" dxfId="97" priority="12955" stopIfTrue="1" operator="equal">
      <formula>"NG"</formula>
    </cfRule>
    <cfRule type="cellIs" dxfId="96" priority="12956" stopIfTrue="1" operator="equal">
      <formula>"OK"</formula>
    </cfRule>
  </conditionalFormatting>
  <conditionalFormatting sqref="DK15:DL16">
    <cfRule type="cellIs" dxfId="95" priority="12928" stopIfTrue="1" operator="lessThan">
      <formula>1.33</formula>
    </cfRule>
    <cfRule type="cellIs" dxfId="94" priority="12929" stopIfTrue="1" operator="greaterThanOrEqual">
      <formula>1.33</formula>
    </cfRule>
  </conditionalFormatting>
  <conditionalFormatting sqref="DI15:DI24">
    <cfRule type="cellIs" dxfId="93" priority="12232" stopIfTrue="1" operator="equal">
      <formula>"OK"</formula>
    </cfRule>
    <cfRule type="cellIs" dxfId="92" priority="12233" stopIfTrue="1" operator="equal">
      <formula>"NG"</formula>
    </cfRule>
    <cfRule type="cellIs" dxfId="91" priority="12234" stopIfTrue="1" operator="equal">
      <formula>""""""</formula>
    </cfRule>
  </conditionalFormatting>
  <conditionalFormatting sqref="DO17">
    <cfRule type="cellIs" dxfId="90" priority="11364" stopIfTrue="1" operator="equal">
      <formula>"修模改善"</formula>
    </cfRule>
    <cfRule type="expression" dxfId="89" priority="11365" stopIfTrue="1">
      <formula>OR(DO17="调机改善",DO17="工艺变更")</formula>
    </cfRule>
    <cfRule type="expression" dxfId="88" priority="11366" stopIfTrue="1">
      <formula>OR(DO17="复测尺寸",DO17="量测变更")</formula>
    </cfRule>
  </conditionalFormatting>
  <conditionalFormatting sqref="DK17:DL17">
    <cfRule type="cellIs" dxfId="87" priority="11358" stopIfTrue="1" operator="lessThan">
      <formula>1.33</formula>
    </cfRule>
    <cfRule type="cellIs" dxfId="86" priority="11359" stopIfTrue="1" operator="greaterThanOrEqual">
      <formula>1.33</formula>
    </cfRule>
  </conditionalFormatting>
  <conditionalFormatting sqref="DO18">
    <cfRule type="cellIs" dxfId="85" priority="11350" stopIfTrue="1" operator="equal">
      <formula>"修模改善"</formula>
    </cfRule>
    <cfRule type="expression" dxfId="84" priority="11351" stopIfTrue="1">
      <formula>OR(DO18="调机改善",DO18="工艺变更")</formula>
    </cfRule>
    <cfRule type="expression" dxfId="83" priority="11352" stopIfTrue="1">
      <formula>OR(DO18="复测尺寸",DO18="量测变更")</formula>
    </cfRule>
  </conditionalFormatting>
  <conditionalFormatting sqref="DK18:DL18">
    <cfRule type="cellIs" dxfId="82" priority="11344" stopIfTrue="1" operator="lessThan">
      <formula>1.33</formula>
    </cfRule>
    <cfRule type="cellIs" dxfId="81" priority="11345" stopIfTrue="1" operator="greaterThanOrEqual">
      <formula>1.33</formula>
    </cfRule>
  </conditionalFormatting>
  <conditionalFormatting sqref="DO19">
    <cfRule type="cellIs" dxfId="80" priority="11336" stopIfTrue="1" operator="equal">
      <formula>"修模改善"</formula>
    </cfRule>
    <cfRule type="expression" dxfId="79" priority="11337" stopIfTrue="1">
      <formula>OR(DO19="调机改善",DO19="工艺变更")</formula>
    </cfRule>
    <cfRule type="expression" dxfId="78" priority="11338" stopIfTrue="1">
      <formula>OR(DO19="复测尺寸",DO19="量测变更")</formula>
    </cfRule>
  </conditionalFormatting>
  <conditionalFormatting sqref="DK19:DL19">
    <cfRule type="cellIs" dxfId="77" priority="11330" stopIfTrue="1" operator="lessThan">
      <formula>1.33</formula>
    </cfRule>
    <cfRule type="cellIs" dxfId="76" priority="11331" stopIfTrue="1" operator="greaterThanOrEqual">
      <formula>1.33</formula>
    </cfRule>
  </conditionalFormatting>
  <conditionalFormatting sqref="DO20">
    <cfRule type="cellIs" dxfId="75" priority="11322" stopIfTrue="1" operator="equal">
      <formula>"修模改善"</formula>
    </cfRule>
    <cfRule type="expression" dxfId="74" priority="11323" stopIfTrue="1">
      <formula>OR(DO20="调机改善",DO20="工艺变更")</formula>
    </cfRule>
    <cfRule type="expression" dxfId="73" priority="11324" stopIfTrue="1">
      <formula>OR(DO20="复测尺寸",DO20="量测变更")</formula>
    </cfRule>
  </conditionalFormatting>
  <conditionalFormatting sqref="DK20:DL20">
    <cfRule type="cellIs" dxfId="72" priority="11316" stopIfTrue="1" operator="lessThan">
      <formula>1.33</formula>
    </cfRule>
    <cfRule type="cellIs" dxfId="71" priority="11317" stopIfTrue="1" operator="greaterThanOrEqual">
      <formula>1.33</formula>
    </cfRule>
  </conditionalFormatting>
  <conditionalFormatting sqref="DO21">
    <cfRule type="cellIs" dxfId="70" priority="11308" stopIfTrue="1" operator="equal">
      <formula>"修模改善"</formula>
    </cfRule>
    <cfRule type="expression" dxfId="69" priority="11309" stopIfTrue="1">
      <formula>OR(DO21="调机改善",DO21="工艺变更")</formula>
    </cfRule>
    <cfRule type="expression" dxfId="68" priority="11310" stopIfTrue="1">
      <formula>OR(DO21="复测尺寸",DO21="量测变更")</formula>
    </cfRule>
  </conditionalFormatting>
  <conditionalFormatting sqref="DK21:DL21">
    <cfRule type="cellIs" dxfId="67" priority="11302" stopIfTrue="1" operator="lessThan">
      <formula>1.33</formula>
    </cfRule>
    <cfRule type="cellIs" dxfId="66" priority="11303" stopIfTrue="1" operator="greaterThanOrEqual">
      <formula>1.33</formula>
    </cfRule>
  </conditionalFormatting>
  <conditionalFormatting sqref="DO22">
    <cfRule type="cellIs" dxfId="65" priority="11294" stopIfTrue="1" operator="equal">
      <formula>"修模改善"</formula>
    </cfRule>
    <cfRule type="expression" dxfId="64" priority="11295" stopIfTrue="1">
      <formula>OR(DO22="调机改善",DO22="工艺变更")</formula>
    </cfRule>
    <cfRule type="expression" dxfId="63" priority="11296" stopIfTrue="1">
      <formula>OR(DO22="复测尺寸",DO22="量测变更")</formula>
    </cfRule>
  </conditionalFormatting>
  <conditionalFormatting sqref="DK22:DL22">
    <cfRule type="cellIs" dxfId="62" priority="11288" stopIfTrue="1" operator="lessThan">
      <formula>1.33</formula>
    </cfRule>
    <cfRule type="cellIs" dxfId="61" priority="11289" stopIfTrue="1" operator="greaterThanOrEqual">
      <formula>1.33</formula>
    </cfRule>
  </conditionalFormatting>
  <conditionalFormatting sqref="DO23">
    <cfRule type="cellIs" dxfId="60" priority="11280" stopIfTrue="1" operator="equal">
      <formula>"修模改善"</formula>
    </cfRule>
    <cfRule type="expression" dxfId="59" priority="11281" stopIfTrue="1">
      <formula>OR(DO23="调机改善",DO23="工艺变更")</formula>
    </cfRule>
    <cfRule type="expression" dxfId="58" priority="11282" stopIfTrue="1">
      <formula>OR(DO23="复测尺寸",DO23="量测变更")</formula>
    </cfRule>
  </conditionalFormatting>
  <conditionalFormatting sqref="DK23:DL23">
    <cfRule type="cellIs" dxfId="57" priority="11274" stopIfTrue="1" operator="lessThan">
      <formula>1.33</formula>
    </cfRule>
    <cfRule type="cellIs" dxfId="56" priority="11275" stopIfTrue="1" operator="greaterThanOrEqual">
      <formula>1.33</formula>
    </cfRule>
  </conditionalFormatting>
  <conditionalFormatting sqref="DO24">
    <cfRule type="cellIs" dxfId="55" priority="11266" stopIfTrue="1" operator="equal">
      <formula>"修模改善"</formula>
    </cfRule>
    <cfRule type="expression" dxfId="54" priority="11267" stopIfTrue="1">
      <formula>OR(DO24="调机改善",DO24="工艺变更")</formula>
    </cfRule>
    <cfRule type="expression" dxfId="53" priority="11268" stopIfTrue="1">
      <formula>OR(DO24="复测尺寸",DO24="量测变更")</formula>
    </cfRule>
  </conditionalFormatting>
  <conditionalFormatting sqref="DK24:DL24">
    <cfRule type="cellIs" dxfId="52" priority="11260" stopIfTrue="1" operator="lessThan">
      <formula>1.33</formula>
    </cfRule>
    <cfRule type="cellIs" dxfId="51" priority="11261" stopIfTrue="1" operator="greaterThanOrEqual">
      <formula>1.33</formula>
    </cfRule>
  </conditionalFormatting>
  <conditionalFormatting sqref="EE14">
    <cfRule type="cellIs" dxfId="50" priority="10236" stopIfTrue="1" operator="equal">
      <formula>"NG"</formula>
    </cfRule>
    <cfRule type="cellIs" dxfId="49" priority="10237" stopIfTrue="1" operator="equal">
      <formula>"OK"</formula>
    </cfRule>
  </conditionalFormatting>
  <conditionalFormatting sqref="DI25">
    <cfRule type="cellIs" dxfId="48" priority="10217" stopIfTrue="1" operator="equal">
      <formula>"OK"</formula>
    </cfRule>
    <cfRule type="cellIs" dxfId="47" priority="10218" stopIfTrue="1" operator="equal">
      <formula>"NG"</formula>
    </cfRule>
    <cfRule type="cellIs" dxfId="46" priority="10219" stopIfTrue="1" operator="equal">
      <formula>""""""</formula>
    </cfRule>
  </conditionalFormatting>
  <conditionalFormatting sqref="DO25">
    <cfRule type="cellIs" dxfId="45" priority="10214" stopIfTrue="1" operator="equal">
      <formula>"修模改善"</formula>
    </cfRule>
    <cfRule type="expression" dxfId="44" priority="10215" stopIfTrue="1">
      <formula>OR(DO25="调机改善",DO25="工艺变更")</formula>
    </cfRule>
    <cfRule type="expression" dxfId="43" priority="10216" stopIfTrue="1">
      <formula>OR(DO25="复测尺寸",DO25="量测变更")</formula>
    </cfRule>
  </conditionalFormatting>
  <conditionalFormatting sqref="DK25:DL25">
    <cfRule type="cellIs" dxfId="42" priority="10212" stopIfTrue="1" operator="lessThan">
      <formula>1.33</formula>
    </cfRule>
    <cfRule type="cellIs" dxfId="41" priority="10213" stopIfTrue="1" operator="greaterThanOrEqual">
      <formula>1.33</formula>
    </cfRule>
  </conditionalFormatting>
  <conditionalFormatting sqref="DI26">
    <cfRule type="cellIs" dxfId="40" priority="5881" stopIfTrue="1" operator="equal">
      <formula>"OK"</formula>
    </cfRule>
    <cfRule type="cellIs" dxfId="39" priority="5882" stopIfTrue="1" operator="equal">
      <formula>"NG"</formula>
    </cfRule>
    <cfRule type="cellIs" dxfId="38" priority="5883" stopIfTrue="1" operator="equal">
      <formula>""""""</formula>
    </cfRule>
  </conditionalFormatting>
  <conditionalFormatting sqref="DO26">
    <cfRule type="cellIs" dxfId="37" priority="5878" stopIfTrue="1" operator="equal">
      <formula>"修模改善"</formula>
    </cfRule>
    <cfRule type="expression" dxfId="36" priority="5879" stopIfTrue="1">
      <formula>OR(DO26="调机改善",DO26="工艺变更")</formula>
    </cfRule>
    <cfRule type="expression" dxfId="35" priority="5880" stopIfTrue="1">
      <formula>OR(DO26="复测尺寸",DO26="量测变更")</formula>
    </cfRule>
  </conditionalFormatting>
  <conditionalFormatting sqref="DK26:DL26">
    <cfRule type="cellIs" dxfId="34" priority="5876" stopIfTrue="1" operator="lessThan">
      <formula>1.33</formula>
    </cfRule>
    <cfRule type="cellIs" dxfId="33" priority="5877" stopIfTrue="1" operator="greaterThanOrEqual">
      <formula>1.33</formula>
    </cfRule>
  </conditionalFormatting>
  <conditionalFormatting sqref="J15:DE26">
    <cfRule type="cellIs" dxfId="32" priority="4570" operator="notBetween">
      <formula>($EC15+$ED15)/2+($EC15-$ED15)/2</formula>
      <formula>($EC15+$ED15)/2-($EC15-$ED15)/2</formula>
    </cfRule>
  </conditionalFormatting>
  <conditionalFormatting sqref="J15:DE26">
    <cfRule type="cellIs" dxfId="31" priority="4569" operator="between">
      <formula>($EC15+$ED15)/2+($EC15-$ED15)/2</formula>
      <formula>($EC15+$ED15)/2-($EC15-$ED15)/2</formula>
    </cfRule>
  </conditionalFormatting>
  <conditionalFormatting sqref="J15:DE26">
    <cfRule type="cellIs" dxfId="30" priority="4568" operator="between">
      <formula>($EC15+$ED15)/2+($EC15-$ED15)/2*0.9</formula>
      <formula>($EC15+$ED15)/2-($EC15-$ED15)/2*0.9</formula>
    </cfRule>
  </conditionalFormatting>
  <conditionalFormatting sqref="J15:DE26">
    <cfRule type="cellIs" dxfId="29" priority="4567" operator="between">
      <formula>($EC15+$ED15)/2+($EC15-$ED15)/2*0.8</formula>
      <formula>($EC15+$ED15)/2-($EC15-$ED15)/2*0.8</formula>
    </cfRule>
  </conditionalFormatting>
  <conditionalFormatting sqref="J15:DE26">
    <cfRule type="cellIs" dxfId="28" priority="4566" operator="between">
      <formula>($EC15+$ED15)/2+($EC15-$ED15)/2*0.65</formula>
      <formula>($EC15+$ED15)/2-($EC15-$ED15)/2*0.65</formula>
    </cfRule>
  </conditionalFormatting>
  <conditionalFormatting sqref="J14">
    <cfRule type="cellIs" dxfId="27" priority="40" stopIfTrue="1" operator="equal">
      <formula>"NG"</formula>
    </cfRule>
    <cfRule type="cellIs" dxfId="26" priority="41" stopIfTrue="1" operator="equal">
      <formula>"OK"</formula>
    </cfRule>
  </conditionalFormatting>
  <conditionalFormatting sqref="DI27">
    <cfRule type="cellIs" dxfId="25" priority="37" stopIfTrue="1" operator="equal">
      <formula>"OK"</formula>
    </cfRule>
    <cfRule type="cellIs" dxfId="24" priority="38" stopIfTrue="1" operator="equal">
      <formula>"NG"</formula>
    </cfRule>
    <cfRule type="cellIs" dxfId="23" priority="39" stopIfTrue="1" operator="equal">
      <formula>""""""</formula>
    </cfRule>
  </conditionalFormatting>
  <conditionalFormatting sqref="DO27">
    <cfRule type="cellIs" dxfId="22" priority="34" stopIfTrue="1" operator="equal">
      <formula>"修模改善"</formula>
    </cfRule>
    <cfRule type="expression" dxfId="21" priority="35" stopIfTrue="1">
      <formula>OR(DO27="调机改善",DO27="工艺变更")</formula>
    </cfRule>
    <cfRule type="expression" dxfId="20" priority="36" stopIfTrue="1">
      <formula>OR(DO27="复测尺寸",DO27="量测变更")</formula>
    </cfRule>
  </conditionalFormatting>
  <conditionalFormatting sqref="DK27:DL27">
    <cfRule type="cellIs" dxfId="19" priority="32" stopIfTrue="1" operator="lessThan">
      <formula>1.33</formula>
    </cfRule>
    <cfRule type="cellIs" dxfId="18" priority="33" stopIfTrue="1" operator="greaterThanOrEqual">
      <formula>1.33</formula>
    </cfRule>
  </conditionalFormatting>
  <conditionalFormatting sqref="J27:DE27">
    <cfRule type="cellIs" dxfId="17" priority="31" operator="notBetween">
      <formula>($EC27+$ED27)/2+($EC27-$ED27)/2</formula>
      <formula>($EC27+$ED27)/2-($EC27-$ED27)/2</formula>
    </cfRule>
  </conditionalFormatting>
  <conditionalFormatting sqref="J27:DE27">
    <cfRule type="cellIs" dxfId="16" priority="30" operator="between">
      <formula>($EC27+$ED27)/2+($EC27-$ED27)/2</formula>
      <formula>($EC27+$ED27)/2-($EC27-$ED27)/2</formula>
    </cfRule>
  </conditionalFormatting>
  <conditionalFormatting sqref="J27:DE27">
    <cfRule type="cellIs" dxfId="15" priority="29" operator="between">
      <formula>($EC27+$ED27)/2+($EC27-$ED27)/2*0.9</formula>
      <formula>($EC27+$ED27)/2-($EC27-$ED27)/2*0.9</formula>
    </cfRule>
  </conditionalFormatting>
  <conditionalFormatting sqref="J27:DE27">
    <cfRule type="cellIs" dxfId="14" priority="28" operator="between">
      <formula>($EC27+$ED27)/2+($EC27-$ED27)/2*0.8</formula>
      <formula>($EC27+$ED27)/2-($EC27-$ED27)/2*0.8</formula>
    </cfRule>
  </conditionalFormatting>
  <conditionalFormatting sqref="J27:DE27">
    <cfRule type="cellIs" dxfId="13" priority="27" operator="between">
      <formula>($EC27+$ED27)/2+($EC27-$ED27)/2*0.65</formula>
      <formula>($EC27+$ED27)/2-($EC27-$ED27)/2*0.65</formula>
    </cfRule>
  </conditionalFormatting>
  <conditionalFormatting sqref="DI28">
    <cfRule type="cellIs" dxfId="12" priority="24" stopIfTrue="1" operator="equal">
      <formula>"OK"</formula>
    </cfRule>
    <cfRule type="cellIs" dxfId="11" priority="25" stopIfTrue="1" operator="equal">
      <formula>"NG"</formula>
    </cfRule>
    <cfRule type="cellIs" dxfId="10" priority="26" stopIfTrue="1" operator="equal">
      <formula>""""""</formula>
    </cfRule>
  </conditionalFormatting>
  <conditionalFormatting sqref="DO28">
    <cfRule type="cellIs" dxfId="9" priority="21" stopIfTrue="1" operator="equal">
      <formula>"修模改善"</formula>
    </cfRule>
    <cfRule type="expression" dxfId="8" priority="22" stopIfTrue="1">
      <formula>OR(DO28="调机改善",DO28="工艺变更")</formula>
    </cfRule>
    <cfRule type="expression" dxfId="7" priority="23" stopIfTrue="1">
      <formula>OR(DO28="复测尺寸",DO28="量测变更")</formula>
    </cfRule>
  </conditionalFormatting>
  <conditionalFormatting sqref="DK28:DL28">
    <cfRule type="cellIs" dxfId="6" priority="19" stopIfTrue="1" operator="lessThan">
      <formula>1.33</formula>
    </cfRule>
    <cfRule type="cellIs" dxfId="5" priority="20" stopIfTrue="1" operator="greaterThanOrEqual">
      <formula>1.33</formula>
    </cfRule>
  </conditionalFormatting>
  <conditionalFormatting sqref="J28:DE28">
    <cfRule type="cellIs" dxfId="4" priority="18" operator="notBetween">
      <formula>($EC28+$ED28)/2+($EC28-$ED28)/2</formula>
      <formula>($EC28+$ED28)/2-($EC28-$ED28)/2</formula>
    </cfRule>
  </conditionalFormatting>
  <conditionalFormatting sqref="J28:DE28">
    <cfRule type="cellIs" dxfId="3" priority="17" operator="between">
      <formula>($EC28+$ED28)/2+($EC28-$ED28)/2</formula>
      <formula>($EC28+$ED28)/2-($EC28-$ED28)/2</formula>
    </cfRule>
  </conditionalFormatting>
  <conditionalFormatting sqref="J28:DE28">
    <cfRule type="cellIs" dxfId="2" priority="16" operator="between">
      <formula>($EC28+$ED28)/2+($EC28-$ED28)/2*0.9</formula>
      <formula>($EC28+$ED28)/2-($EC28-$ED28)/2*0.9</formula>
    </cfRule>
  </conditionalFormatting>
  <conditionalFormatting sqref="J28:DE28">
    <cfRule type="cellIs" dxfId="1" priority="15" operator="between">
      <formula>($EC28+$ED28)/2+($EC28-$ED28)/2*0.8</formula>
      <formula>($EC28+$ED28)/2-($EC28-$ED28)/2*0.8</formula>
    </cfRule>
  </conditionalFormatting>
  <conditionalFormatting sqref="J28:DE28">
    <cfRule type="cellIs" dxfId="0" priority="14" operator="between">
      <formula>($EC28+$ED28)/2+($EC28-$ED28)/2*0.65</formula>
      <formula>($EC28+$ED28)/2-($EC28-$ED28)/2*0.65</formula>
    </cfRule>
  </conditionalFormatting>
  <dataValidations count="5">
    <dataValidation type="list" allowBlank="1" showInputMessage="1" showErrorMessage="1" sqref="F11:G11">
      <formula1>$J$4:$DE$4</formula1>
    </dataValidation>
    <dataValidation type="decimal" allowBlank="1" showInputMessage="1" showErrorMessage="1" sqref="DI7">
      <formula1>0</formula1>
      <formula2>1</formula2>
    </dataValidation>
    <dataValidation type="list" allowBlank="1" showInputMessage="1" showErrorMessage="1" sqref="F8:G8">
      <formula1>"FAI,CPK,GR&amp;R,首件,巡检,尾件,来料,出货,调机,FAI+CPK,指定尺寸,调机复测,换刀首件,架机首件,刀具尺寸"</formula1>
    </dataValidation>
    <dataValidation type="decimal" allowBlank="1" showInputMessage="1" showErrorMessage="1" errorTitle="注意（仅限于数值输入）" error="您的输入有误，请重新输入！" sqref="J15:DE28">
      <formula1>-1000</formula1>
      <formula2>1000</formula2>
    </dataValidation>
    <dataValidation type="list" allowBlank="1" showInputMessage="1" showErrorMessage="1" sqref="DO15:DO28">
      <formula1>"修模改善,调机改善,工艺变更,复测尺寸,量测变更,挂起待定"</formula1>
    </dataValidation>
  </dataValidations>
  <printOptions horizontalCentered="1"/>
  <pageMargins left="0" right="0" top="0.39370078740157483" bottom="0.39370078740157483" header="0.19685039370078741" footer="0.19685039370078741"/>
  <pageSetup paperSize="9" scale="60" orientation="portrait" r:id="rId1"/>
  <headerFooter>
    <oddFooter>&amp;C&amp;"Arial Narrow,常规"&amp;12Copyright© 2012 LY TECH Corporation.All Rights Reserved.This confidential information must not be disclosed to others without the prior written consent of LY TECH Corporation.</oddFooter>
  </headerFooter>
  <ignoredErrors>
    <ignoredError sqref="J11:M11 N11:O11 P11:AO11" formulaRange="1"/>
  </ignoredErrors>
  <drawing r:id="rId2"/>
  <legacyDrawing r:id="rId3"/>
  <controls>
    <mc:AlternateContent xmlns:mc="http://schemas.openxmlformats.org/markup-compatibility/2006">
      <mc:Choice Requires="x14">
        <control shapeId="1025" r:id="rId4" name="OptionButton1">
          <controlPr defaultSize="0" print="0" altText="" r:id="rId5">
            <anchor moveWithCells="1" sizeWithCells="1">
              <from>
                <xdr:col>111</xdr:col>
                <xdr:colOff>9525</xdr:colOff>
                <xdr:row>11</xdr:row>
                <xdr:rowOff>9525</xdr:rowOff>
              </from>
              <to>
                <xdr:col>112</xdr:col>
                <xdr:colOff>19050</xdr:colOff>
                <xdr:row>12</xdr:row>
                <xdr:rowOff>0</xdr:rowOff>
              </to>
            </anchor>
          </controlPr>
        </control>
      </mc:Choice>
      <mc:Fallback>
        <control shapeId="1025" r:id="rId4" name="OptionButton1"/>
      </mc:Fallback>
    </mc:AlternateContent>
    <mc:AlternateContent xmlns:mc="http://schemas.openxmlformats.org/markup-compatibility/2006">
      <mc:Choice Requires="x14">
        <control shapeId="1026" r:id="rId6" name="OptionButton2">
          <controlPr defaultSize="0" print="0" altText="" r:id="rId7">
            <anchor moveWithCells="1" sizeWithCells="1">
              <from>
                <xdr:col>112</xdr:col>
                <xdr:colOff>38100</xdr:colOff>
                <xdr:row>11</xdr:row>
                <xdr:rowOff>9525</xdr:rowOff>
              </from>
              <to>
                <xdr:col>113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026" r:id="rId6" name="OptionButton2"/>
      </mc:Fallback>
    </mc:AlternateContent>
    <mc:AlternateContent xmlns:mc="http://schemas.openxmlformats.org/markup-compatibility/2006">
      <mc:Choice Requires="x14">
        <control shapeId="1027" r:id="rId8" name="CheckBox1">
          <controlPr defaultSize="0" print="0" altText="" r:id="rId9">
            <anchor moveWithCells="1" sizeWithCells="1">
              <from>
                <xdr:col>0</xdr:col>
                <xdr:colOff>419100</xdr:colOff>
                <xdr:row>13</xdr:row>
                <xdr:rowOff>57150</xdr:rowOff>
              </from>
              <to>
                <xdr:col>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27" r:id="rId8" name="CheckBox1"/>
      </mc:Fallback>
    </mc:AlternateContent>
    <mc:AlternateContent xmlns:mc="http://schemas.openxmlformats.org/markup-compatibility/2006">
      <mc:Choice Requires="x14">
        <control shapeId="1033" r:id="rId10" name="CheckBox2">
          <controlPr defaultSize="0" autoLine="0" r:id="rId11">
            <anchor moveWithCells="1">
              <from>
                <xdr:col>109</xdr:col>
                <xdr:colOff>38100</xdr:colOff>
                <xdr:row>11</xdr:row>
                <xdr:rowOff>9525</xdr:rowOff>
              </from>
              <to>
                <xdr:col>110</xdr:col>
                <xdr:colOff>523875</xdr:colOff>
                <xdr:row>12</xdr:row>
                <xdr:rowOff>0</xdr:rowOff>
              </to>
            </anchor>
          </controlPr>
        </control>
      </mc:Choice>
      <mc:Fallback>
        <control shapeId="1033" r:id="rId10" name="CheckBox2"/>
      </mc:Fallback>
    </mc:AlternateContent>
    <mc:AlternateContent xmlns:mc="http://schemas.openxmlformats.org/markup-compatibility/2006">
      <mc:Choice Requires="x14">
        <control shapeId="1028" r:id="rId12" name="Label 2091">
          <controlPr defaultSize="0" autoFill="0" autoLine="0" autoPict="0">
            <anchor moveWithCells="1" sizeWithCells="1">
              <from>
                <xdr:col>8</xdr:col>
                <xdr:colOff>400050</xdr:colOff>
                <xdr:row>11</xdr:row>
                <xdr:rowOff>19050</xdr:rowOff>
              </from>
              <to>
                <xdr:col>9</xdr:col>
                <xdr:colOff>0</xdr:colOff>
                <xdr:row>11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3" name="Label 2103">
          <controlPr defaultSize="0" autoFill="0" autoLine="0" autoPict="0">
            <anchor moveWithCells="1" sizeWithCells="1">
              <from>
                <xdr:col>8</xdr:col>
                <xdr:colOff>400050</xdr:colOff>
                <xdr:row>12</xdr:row>
                <xdr:rowOff>19050</xdr:rowOff>
              </from>
              <to>
                <xdr:col>9</xdr:col>
                <xdr:colOff>0</xdr:colOff>
                <xdr:row>12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4" name="Label 2104">
          <controlPr defaultSize="0" autoFill="0" autoLine="0" autoPict="0">
            <anchor moveWithCells="1" sizeWithCells="1">
              <from>
                <xdr:col>8</xdr:col>
                <xdr:colOff>400050</xdr:colOff>
                <xdr:row>13</xdr:row>
                <xdr:rowOff>19050</xdr:rowOff>
              </from>
              <to>
                <xdr:col>9</xdr:col>
                <xdr:colOff>0</xdr:colOff>
                <xdr:row>13</xdr:row>
                <xdr:rowOff>200025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第一页</vt:lpstr>
    </vt:vector>
  </TitlesOfParts>
  <Manager>Well</Manager>
  <Company>LY TECH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LY TECH Dimension Report</dc:title>
  <dc:subject>Dimension Report</dc:subject>
  <dc:creator>liu.wei/刘维</dc:creator>
  <cp:keywords>Dimension Report</cp:keywords>
  <dc:description>Any questions,Please feedback to lwlove111@163.com(Tel:13684916630/18566538030)</dc:description>
  <cp:lastModifiedBy>Administrator</cp:lastModifiedBy>
  <cp:revision>6</cp:revision>
  <cp:lastPrinted>2020-07-15T02:29:09Z</cp:lastPrinted>
  <dcterms:created xsi:type="dcterms:W3CDTF">2017-11-07T07:43:01Z</dcterms:created>
  <dcterms:modified xsi:type="dcterms:W3CDTF">2025-01-03T23:51:47Z</dcterms:modified>
  <cp:category>VBA</cp:category>
  <cp:contentStatus>Dimension Report</cp:contentStatus>
  <dc:language>中文</dc:language>
  <cp:version>V6.0</cp:version>
</cp:coreProperties>
</file>